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mc:AlternateContent xmlns:mc="http://schemas.openxmlformats.org/markup-compatibility/2006">
    <mc:Choice Requires="x15">
      <x15ac:absPath xmlns:x15ac="http://schemas.microsoft.com/office/spreadsheetml/2010/11/ac" url="C:\Users\Amel\Downloads\"/>
    </mc:Choice>
  </mc:AlternateContent>
  <xr:revisionPtr revIDLastSave="0" documentId="13_ncr:1_{B9309BD3-19E6-4AB0-8D12-2C7EB53E101C}" xr6:coauthVersionLast="45" xr6:coauthVersionMax="45" xr10:uidLastSave="{00000000-0000-0000-0000-000000000000}"/>
  <bookViews>
    <workbookView xWindow="-120" yWindow="-120" windowWidth="20730" windowHeight="11760" activeTab="3" xr2:uid="{00000000-000D-0000-FFFF-FFFF00000000}"/>
  </bookViews>
  <sheets>
    <sheet name="Raw_Data" sheetId="1" r:id="rId1"/>
    <sheet name="Lookup" sheetId="3" r:id="rId2"/>
    <sheet name="Analysis" sheetId="2" r:id="rId3"/>
    <sheet name="Dashboard" sheetId="8" r:id="rId4"/>
    <sheet name="Helper" sheetId="9" r:id="rId5"/>
  </sheets>
  <definedNames>
    <definedName name="Slicer_Brand">#N/A</definedName>
    <definedName name="Slicer_Condition1">#N/A</definedName>
    <definedName name="Slicer_Seller_Type1">#N/A</definedName>
    <definedName name="Slicer_Warranty1">#N/A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14" i="8" l="1"/>
  <c r="J14" i="8"/>
  <c r="F14" i="8"/>
  <c r="B14" i="8"/>
  <c r="E5" i="3" l="1"/>
  <c r="E6" i="3"/>
  <c r="E7" i="3"/>
  <c r="E8" i="3"/>
  <c r="E9" i="3"/>
  <c r="E10" i="3"/>
  <c r="E11" i="3"/>
  <c r="E12" i="3"/>
  <c r="E13" i="3"/>
  <c r="E14" i="3"/>
  <c r="E15" i="3"/>
  <c r="E4" i="3"/>
  <c r="D5" i="3"/>
  <c r="D6" i="3"/>
  <c r="D7" i="3"/>
  <c r="D8" i="3"/>
  <c r="D9" i="3"/>
  <c r="D10" i="3"/>
  <c r="D11" i="3"/>
  <c r="D12" i="3"/>
  <c r="D13" i="3"/>
  <c r="D14" i="3"/>
  <c r="D15" i="3"/>
  <c r="D4" i="3"/>
  <c r="C5" i="3"/>
  <c r="C6" i="3"/>
  <c r="C7" i="3"/>
  <c r="C8" i="3"/>
  <c r="C9" i="3"/>
  <c r="C10" i="3"/>
  <c r="C11" i="3"/>
  <c r="C12" i="3"/>
  <c r="C13" i="3"/>
  <c r="C14" i="3"/>
  <c r="C15" i="3"/>
  <c r="C4" i="3"/>
  <c r="B5" i="3"/>
  <c r="B6" i="3"/>
  <c r="B7" i="3"/>
  <c r="B8" i="3"/>
  <c r="B9" i="3"/>
  <c r="B10" i="3"/>
  <c r="B11" i="3"/>
  <c r="B12" i="3"/>
  <c r="B13" i="3"/>
  <c r="B14" i="3"/>
  <c r="B15" i="3"/>
  <c r="B4" i="3"/>
  <c r="U17" i="1"/>
  <c r="U16" i="1"/>
  <c r="U14" i="1"/>
  <c r="U15" i="1"/>
  <c r="U13" i="1" l="1"/>
  <c r="U12" i="1"/>
  <c r="U11" i="1"/>
  <c r="U10" i="1"/>
</calcChain>
</file>

<file path=xl/sharedStrings.xml><?xml version="1.0" encoding="utf-8"?>
<sst xmlns="http://schemas.openxmlformats.org/spreadsheetml/2006/main" count="9180" uniqueCount="1145">
  <si>
    <t>Phone_ID</t>
  </si>
  <si>
    <t>Brand</t>
  </si>
  <si>
    <t>Model</t>
  </si>
  <si>
    <t>Release_Year</t>
  </si>
  <si>
    <t>Age_Years</t>
  </si>
  <si>
    <t>RAM_GB</t>
  </si>
  <si>
    <t>Storage_GB</t>
  </si>
  <si>
    <t>Battery_Health_Percent</t>
  </si>
  <si>
    <t>Camera_MP</t>
  </si>
  <si>
    <t>Screen_Size_Inch</t>
  </si>
  <si>
    <t>Processor</t>
  </si>
  <si>
    <t>Condition</t>
  </si>
  <si>
    <t>Color</t>
  </si>
  <si>
    <t>Seller_Type</t>
  </si>
  <si>
    <t>City</t>
  </si>
  <si>
    <t>Warranty</t>
  </si>
  <si>
    <t>Original_Price_USD</t>
  </si>
  <si>
    <t>Selling_Price_USD</t>
  </si>
  <si>
    <t>P00001</t>
  </si>
  <si>
    <t>Realme</t>
  </si>
  <si>
    <t>GT Neo 3</t>
  </si>
  <si>
    <t>Dimensity 8100</t>
  </si>
  <si>
    <t>Good</t>
  </si>
  <si>
    <t>White</t>
  </si>
  <si>
    <t>Store</t>
  </si>
  <si>
    <t>Jakarta</t>
  </si>
  <si>
    <t>No</t>
  </si>
  <si>
    <t>P00002</t>
  </si>
  <si>
    <t>Google</t>
  </si>
  <si>
    <t>Pixel 7</t>
  </si>
  <si>
    <t>Tensor G2</t>
  </si>
  <si>
    <t>Like New</t>
  </si>
  <si>
    <t>Blue</t>
  </si>
  <si>
    <t>Individual</t>
  </si>
  <si>
    <t>Surabaya</t>
  </si>
  <si>
    <t>Yes</t>
  </si>
  <si>
    <t>P00003</t>
  </si>
  <si>
    <t>Motorola</t>
  </si>
  <si>
    <t>Edge 40</t>
  </si>
  <si>
    <t>Dimensity 8020</t>
  </si>
  <si>
    <t>Silver</t>
  </si>
  <si>
    <t>Medan</t>
  </si>
  <si>
    <t>P00004</t>
  </si>
  <si>
    <t>P00005</t>
  </si>
  <si>
    <t>OnePlus</t>
  </si>
  <si>
    <t>11</t>
  </si>
  <si>
    <t>Snapdragon 8 Gen2</t>
  </si>
  <si>
    <t>Black</t>
  </si>
  <si>
    <t>Semarang</t>
  </si>
  <si>
    <t>P00006</t>
  </si>
  <si>
    <t>P00007</t>
  </si>
  <si>
    <t>P00008</t>
  </si>
  <si>
    <t>Yogyakarta</t>
  </si>
  <si>
    <t>P00009</t>
  </si>
  <si>
    <t>vivo</t>
  </si>
  <si>
    <t>V27</t>
  </si>
  <si>
    <t>Dimensity 7200</t>
  </si>
  <si>
    <t>Fair</t>
  </si>
  <si>
    <t>P00010</t>
  </si>
  <si>
    <t>Excellent</t>
  </si>
  <si>
    <t>Green</t>
  </si>
  <si>
    <t>Bandung</t>
  </si>
  <si>
    <t>P00011</t>
  </si>
  <si>
    <t>P00012</t>
  </si>
  <si>
    <t>OPPO</t>
  </si>
  <si>
    <t>Reno 8</t>
  </si>
  <si>
    <t>Dimensity 1300</t>
  </si>
  <si>
    <t>P00013</t>
  </si>
  <si>
    <t>Xiaomi</t>
  </si>
  <si>
    <t>Poco X5 Pro</t>
  </si>
  <si>
    <t>Snapdragon 778G</t>
  </si>
  <si>
    <t>P00014</t>
  </si>
  <si>
    <t>P00015</t>
  </si>
  <si>
    <t>Apple</t>
  </si>
  <si>
    <t>iPhone 13</t>
  </si>
  <si>
    <t>A15</t>
  </si>
  <si>
    <t>P00016</t>
  </si>
  <si>
    <t>Huawei</t>
  </si>
  <si>
    <t>P50</t>
  </si>
  <si>
    <t>Kirin 9000</t>
  </si>
  <si>
    <t>P00017</t>
  </si>
  <si>
    <t>Redmi Note 11</t>
  </si>
  <si>
    <t>Snapdragon 680</t>
  </si>
  <si>
    <t>P00018</t>
  </si>
  <si>
    <t>Makassar</t>
  </si>
  <si>
    <t>P00019</t>
  </si>
  <si>
    <t>Purple</t>
  </si>
  <si>
    <t>Bekasi</t>
  </si>
  <si>
    <t>P00020</t>
  </si>
  <si>
    <t>Samsung</t>
  </si>
  <si>
    <t>Galaxy A54</t>
  </si>
  <si>
    <t>Exynos 1380</t>
  </si>
  <si>
    <t>P00021</t>
  </si>
  <si>
    <t>P00022</t>
  </si>
  <si>
    <t>P00023</t>
  </si>
  <si>
    <t>P00024</t>
  </si>
  <si>
    <t>P00025</t>
  </si>
  <si>
    <t>P00026</t>
  </si>
  <si>
    <t>P00027</t>
  </si>
  <si>
    <t>P00028</t>
  </si>
  <si>
    <t>P00029</t>
  </si>
  <si>
    <t>P00030</t>
  </si>
  <si>
    <t>P00031</t>
  </si>
  <si>
    <t>P00032</t>
  </si>
  <si>
    <t>P00033</t>
  </si>
  <si>
    <t>iPhone 14</t>
  </si>
  <si>
    <t>P00034</t>
  </si>
  <si>
    <t>P00035</t>
  </si>
  <si>
    <t>P00036</t>
  </si>
  <si>
    <t>P00037</t>
  </si>
  <si>
    <t>P00038</t>
  </si>
  <si>
    <t>P00039</t>
  </si>
  <si>
    <t>P00040</t>
  </si>
  <si>
    <t>P00041</t>
  </si>
  <si>
    <t>P00042</t>
  </si>
  <si>
    <t>Galaxy S22</t>
  </si>
  <si>
    <t>Snapdragon 8 Gen 1</t>
  </si>
  <si>
    <t>P00043</t>
  </si>
  <si>
    <t>P00044</t>
  </si>
  <si>
    <t>P00045</t>
  </si>
  <si>
    <t>P00046</t>
  </si>
  <si>
    <t>P00047</t>
  </si>
  <si>
    <t>iPhone 12</t>
  </si>
  <si>
    <t>A14</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</si>
  <si>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</si>
  <si>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</si>
  <si>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</si>
  <si>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</si>
  <si>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</si>
  <si>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</si>
  <si>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</si>
  <si>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</si>
  <si>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</si>
  <si>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</si>
  <si>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</si>
  <si>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</si>
  <si>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</si>
  <si>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</si>
  <si>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</si>
  <si>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</si>
  <si>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</si>
  <si>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</si>
  <si>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</si>
  <si>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</si>
  <si>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</si>
  <si>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</si>
  <si>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</si>
  <si>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</si>
  <si>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</si>
  <si>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</si>
  <si>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</si>
  <si>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</si>
  <si>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</si>
  <si>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</si>
  <si>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</si>
  <si>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</si>
  <si>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</si>
  <si>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</si>
  <si>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</si>
  <si>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</si>
  <si>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</si>
  <si>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</si>
  <si>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</si>
  <si>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</si>
  <si>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</si>
  <si>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</si>
  <si>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</si>
  <si>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</si>
  <si>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</si>
  <si>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</si>
  <si>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</si>
  <si>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</si>
  <si>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</si>
  <si>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</si>
  <si>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</si>
  <si>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</si>
  <si>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</si>
  <si>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</si>
  <si>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</si>
  <si>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</si>
  <si>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</si>
  <si>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</si>
  <si>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</si>
  <si>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</si>
  <si>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</si>
  <si>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</si>
  <si>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</si>
  <si>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</si>
  <si>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</si>
  <si>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</si>
  <si>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</si>
  <si>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</si>
  <si>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</si>
  <si>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</si>
  <si>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</si>
  <si>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</si>
  <si>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</si>
  <si>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</si>
  <si>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</si>
  <si>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</si>
  <si>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</si>
  <si>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</si>
  <si>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</si>
  <si>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</si>
  <si>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</si>
  <si>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</si>
  <si>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</si>
  <si>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</si>
  <si>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</si>
  <si>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</si>
  <si>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</si>
  <si>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</si>
  <si>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</si>
  <si>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</si>
  <si>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</si>
  <si>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</si>
  <si>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</si>
  <si>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</si>
  <si>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</si>
  <si>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</si>
  <si>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</si>
  <si>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</si>
  <si>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</si>
  <si>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</si>
  <si>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</si>
  <si>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</si>
  <si>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</si>
  <si>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</si>
  <si>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</si>
  <si>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</si>
  <si>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</si>
  <si>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</si>
  <si>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</si>
  <si>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</si>
  <si>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</si>
  <si>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</si>
  <si>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</si>
  <si>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</si>
  <si>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</si>
  <si>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</si>
  <si>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</si>
  <si>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</si>
  <si>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</si>
  <si>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</si>
  <si>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</si>
  <si>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</si>
  <si>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</si>
  <si>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</si>
  <si>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</si>
  <si>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</si>
  <si>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</si>
  <si>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</si>
  <si>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</si>
  <si>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</si>
  <si>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</si>
  <si>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</si>
  <si>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</si>
  <si>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P00181</t>
  </si>
  <si>
    <t>P00182</t>
  </si>
  <si>
    <t>P00183</t>
  </si>
  <si>
    <t>P00184</t>
  </si>
  <si>
    <t>P00185</t>
  </si>
  <si>
    <t>P00186</t>
  </si>
  <si>
    <t>P00187</t>
  </si>
  <si>
    <t>P00188</t>
  </si>
  <si>
    <t>P00189</t>
  </si>
  <si>
    <t>P00190</t>
  </si>
  <si>
    <t>P00191</t>
  </si>
  <si>
    <t>P00192</t>
  </si>
  <si>
    <t>P00193</t>
  </si>
  <si>
    <t>P00194</t>
  </si>
  <si>
    <t>P00195</t>
  </si>
  <si>
    <t>P00196</t>
  </si>
  <si>
    <t>P00197</t>
  </si>
  <si>
    <t>P00198</t>
  </si>
  <si>
    <t>P00199</t>
  </si>
  <si>
    <t>P00200</t>
  </si>
  <si>
    <t>P00201</t>
  </si>
  <si>
    <t>P00202</t>
  </si>
  <si>
    <t>P00203</t>
  </si>
  <si>
    <t>P00204</t>
  </si>
  <si>
    <t>P00205</t>
  </si>
  <si>
    <t>P00206</t>
  </si>
  <si>
    <t>P00207</t>
  </si>
  <si>
    <t>P00208</t>
  </si>
  <si>
    <t>P00209</t>
  </si>
  <si>
    <t>P00210</t>
  </si>
  <si>
    <t>P00211</t>
  </si>
  <si>
    <t>P00212</t>
  </si>
  <si>
    <t>P00213</t>
  </si>
  <si>
    <t>P00214</t>
  </si>
  <si>
    <t>P00215</t>
  </si>
  <si>
    <t>P00216</t>
  </si>
  <si>
    <t>P00217</t>
  </si>
  <si>
    <t>P00218</t>
  </si>
  <si>
    <t>P00219</t>
  </si>
  <si>
    <t>P00220</t>
  </si>
  <si>
    <t>P00221</t>
  </si>
  <si>
    <t>P00222</t>
  </si>
  <si>
    <t>P00223</t>
  </si>
  <si>
    <t>P00224</t>
  </si>
  <si>
    <t>P00225</t>
  </si>
  <si>
    <t>P00226</t>
  </si>
  <si>
    <t>P00227</t>
  </si>
  <si>
    <t>P00228</t>
  </si>
  <si>
    <t>P00229</t>
  </si>
  <si>
    <t>P00230</t>
  </si>
  <si>
    <t>P00231</t>
  </si>
  <si>
    <t>P00232</t>
  </si>
  <si>
    <t>P00233</t>
  </si>
  <si>
    <t>P00234</t>
  </si>
  <si>
    <t>P00235</t>
  </si>
  <si>
    <t>P00236</t>
  </si>
  <si>
    <t>P00237</t>
  </si>
  <si>
    <t>P00238</t>
  </si>
  <si>
    <t>P00239</t>
  </si>
  <si>
    <t>P00240</t>
  </si>
  <si>
    <t>P00241</t>
  </si>
  <si>
    <t>P00242</t>
  </si>
  <si>
    <t>P00243</t>
  </si>
  <si>
    <t>P00244</t>
  </si>
  <si>
    <t>P00245</t>
  </si>
  <si>
    <t>P00246</t>
  </si>
  <si>
    <t>P00247</t>
  </si>
  <si>
    <t>P00248</t>
  </si>
  <si>
    <t>P00249</t>
  </si>
  <si>
    <t>P00250</t>
  </si>
  <si>
    <t>P00251</t>
  </si>
  <si>
    <t>P00252</t>
  </si>
  <si>
    <t>P00253</t>
  </si>
  <si>
    <t>P00254</t>
  </si>
  <si>
    <t>P00255</t>
  </si>
  <si>
    <t>P00256</t>
  </si>
  <si>
    <t>P00257</t>
  </si>
  <si>
    <t>P00258</t>
  </si>
  <si>
    <t>P00259</t>
  </si>
  <si>
    <t>P00260</t>
  </si>
  <si>
    <t>P00261</t>
  </si>
  <si>
    <t>P00262</t>
  </si>
  <si>
    <t>P00263</t>
  </si>
  <si>
    <t>P00264</t>
  </si>
  <si>
    <t>P00265</t>
  </si>
  <si>
    <t>P00266</t>
  </si>
  <si>
    <t>P00267</t>
  </si>
  <si>
    <t>P00268</t>
  </si>
  <si>
    <t>P00269</t>
  </si>
  <si>
    <t>P00270</t>
  </si>
  <si>
    <t>P00271</t>
  </si>
  <si>
    <t>P00272</t>
  </si>
  <si>
    <t>P00273</t>
  </si>
  <si>
    <t>P00274</t>
  </si>
  <si>
    <t>P00275</t>
  </si>
  <si>
    <t>P00276</t>
  </si>
  <si>
    <t>P00277</t>
  </si>
  <si>
    <t>P00278</t>
  </si>
  <si>
    <t>P00279</t>
  </si>
  <si>
    <t>P00280</t>
  </si>
  <si>
    <t>P00281</t>
  </si>
  <si>
    <t>P00282</t>
  </si>
  <si>
    <t>P00283</t>
  </si>
  <si>
    <t>P00284</t>
  </si>
  <si>
    <t>P00285</t>
  </si>
  <si>
    <t>P00286</t>
  </si>
  <si>
    <t>P00287</t>
  </si>
  <si>
    <t>P00288</t>
  </si>
  <si>
    <t>P00289</t>
  </si>
  <si>
    <t>P00290</t>
  </si>
  <si>
    <t>P00291</t>
  </si>
  <si>
    <t>P00292</t>
  </si>
  <si>
    <t>P00293</t>
  </si>
  <si>
    <t>P00294</t>
  </si>
  <si>
    <t>P00295</t>
  </si>
  <si>
    <t>P00296</t>
  </si>
  <si>
    <t>P00297</t>
  </si>
  <si>
    <t>P00298</t>
  </si>
  <si>
    <t>P00299</t>
  </si>
  <si>
    <t>P00300</t>
  </si>
  <si>
    <t>P00301</t>
  </si>
  <si>
    <t>P00302</t>
  </si>
  <si>
    <t>P00303</t>
  </si>
  <si>
    <t>P00304</t>
  </si>
  <si>
    <t>P00305</t>
  </si>
  <si>
    <t>P00306</t>
  </si>
  <si>
    <t>P00307</t>
  </si>
  <si>
    <t>P00308</t>
  </si>
  <si>
    <t>P00309</t>
  </si>
  <si>
    <t>P00310</t>
  </si>
  <si>
    <t>P00311</t>
  </si>
  <si>
    <t>P00312</t>
  </si>
  <si>
    <t>P00313</t>
  </si>
  <si>
    <t>P00314</t>
  </si>
  <si>
    <t>P00315</t>
  </si>
  <si>
    <t>P00316</t>
  </si>
  <si>
    <t>P00317</t>
  </si>
  <si>
    <t>P00318</t>
  </si>
  <si>
    <t>P00319</t>
  </si>
  <si>
    <t>P00320</t>
  </si>
  <si>
    <t>P00321</t>
  </si>
  <si>
    <t>P00322</t>
  </si>
  <si>
    <t>P00323</t>
  </si>
  <si>
    <t>P00324</t>
  </si>
  <si>
    <t>P00325</t>
  </si>
  <si>
    <t>P00326</t>
  </si>
  <si>
    <t>P00327</t>
  </si>
  <si>
    <t>P00328</t>
  </si>
  <si>
    <t>P00329</t>
  </si>
  <si>
    <t>P00330</t>
  </si>
  <si>
    <t>P00331</t>
  </si>
  <si>
    <t>P00332</t>
  </si>
  <si>
    <t>P00333</t>
  </si>
  <si>
    <t>P00334</t>
  </si>
  <si>
    <t>P00335</t>
  </si>
  <si>
    <t>P00336</t>
  </si>
  <si>
    <t>P00337</t>
  </si>
  <si>
    <t>P00338</t>
  </si>
  <si>
    <t>P00339</t>
  </si>
  <si>
    <t>P00340</t>
  </si>
  <si>
    <t>P00341</t>
  </si>
  <si>
    <t>P00342</t>
  </si>
  <si>
    <t>P00343</t>
  </si>
  <si>
    <t>P00344</t>
  </si>
  <si>
    <t>P00345</t>
  </si>
  <si>
    <t>P00346</t>
  </si>
  <si>
    <t>P00347</t>
  </si>
  <si>
    <t>P00348</t>
  </si>
  <si>
    <t>P00349</t>
  </si>
  <si>
    <t>P00350</t>
  </si>
  <si>
    <t>P00351</t>
  </si>
  <si>
    <t>P00352</t>
  </si>
  <si>
    <t>P00353</t>
  </si>
  <si>
    <t>P00354</t>
  </si>
  <si>
    <t>P00355</t>
  </si>
  <si>
    <t>P00356</t>
  </si>
  <si>
    <t>P00357</t>
  </si>
  <si>
    <t>P00358</t>
  </si>
  <si>
    <t>P00359</t>
  </si>
  <si>
    <t>P00360</t>
  </si>
  <si>
    <t>P00361</t>
  </si>
  <si>
    <t>P00362</t>
  </si>
  <si>
    <t>P00363</t>
  </si>
  <si>
    <t>P00364</t>
  </si>
  <si>
    <t>P00365</t>
  </si>
  <si>
    <t>P00366</t>
  </si>
  <si>
    <t>P00367</t>
  </si>
  <si>
    <t>P00368</t>
  </si>
  <si>
    <t>P00369</t>
  </si>
  <si>
    <t>P00370</t>
  </si>
  <si>
    <t>P00371</t>
  </si>
  <si>
    <t>P00372</t>
  </si>
  <si>
    <t>P00373</t>
  </si>
  <si>
    <t>P00374</t>
  </si>
  <si>
    <t>P00375</t>
  </si>
  <si>
    <t>P00376</t>
  </si>
  <si>
    <t>P00377</t>
  </si>
  <si>
    <t>P00378</t>
  </si>
  <si>
    <t>P00379</t>
  </si>
  <si>
    <t>P00380</t>
  </si>
  <si>
    <t>P00381</t>
  </si>
  <si>
    <t>P00382</t>
  </si>
  <si>
    <t>P00383</t>
  </si>
  <si>
    <t>P00384</t>
  </si>
  <si>
    <t>P00385</t>
  </si>
  <si>
    <t>P00386</t>
  </si>
  <si>
    <t>P00387</t>
  </si>
  <si>
    <t>P00388</t>
  </si>
  <si>
    <t>P00389</t>
  </si>
  <si>
    <t>P00390</t>
  </si>
  <si>
    <t>P00391</t>
  </si>
  <si>
    <t>P00392</t>
  </si>
  <si>
    <t>P00393</t>
  </si>
  <si>
    <t>P00394</t>
  </si>
  <si>
    <t>P00395</t>
  </si>
  <si>
    <t>P00396</t>
  </si>
  <si>
    <t>P00397</t>
  </si>
  <si>
    <t>P00398</t>
  </si>
  <si>
    <t>P00399</t>
  </si>
  <si>
    <t>P00400</t>
  </si>
  <si>
    <t>P00401</t>
  </si>
  <si>
    <t>P00402</t>
  </si>
  <si>
    <t>P00403</t>
  </si>
  <si>
    <t>P00404</t>
  </si>
  <si>
    <t>P00405</t>
  </si>
  <si>
    <t>P00406</t>
  </si>
  <si>
    <t>P00407</t>
  </si>
  <si>
    <t>P00408</t>
  </si>
  <si>
    <t>P00409</t>
  </si>
  <si>
    <t>P00410</t>
  </si>
  <si>
    <t>P00411</t>
  </si>
  <si>
    <t>P00412</t>
  </si>
  <si>
    <t>P00413</t>
  </si>
  <si>
    <t>P00414</t>
  </si>
  <si>
    <t>P00415</t>
  </si>
  <si>
    <t>P00416</t>
  </si>
  <si>
    <t>P00417</t>
  </si>
  <si>
    <t>P00418</t>
  </si>
  <si>
    <t>P00419</t>
  </si>
  <si>
    <t>P00420</t>
  </si>
  <si>
    <t>P00421</t>
  </si>
  <si>
    <t>P00422</t>
  </si>
  <si>
    <t>P00423</t>
  </si>
  <si>
    <t>P00424</t>
  </si>
  <si>
    <t>P00425</t>
  </si>
  <si>
    <t>P00426</t>
  </si>
  <si>
    <t>P00427</t>
  </si>
  <si>
    <t>P00428</t>
  </si>
  <si>
    <t>P00429</t>
  </si>
  <si>
    <t>P00430</t>
  </si>
  <si>
    <t>P00431</t>
  </si>
  <si>
    <t>P00432</t>
  </si>
  <si>
    <t>P00433</t>
  </si>
  <si>
    <t>P00434</t>
  </si>
  <si>
    <t>P00435</t>
  </si>
  <si>
    <t>P00436</t>
  </si>
  <si>
    <t>P00437</t>
  </si>
  <si>
    <t>P00438</t>
  </si>
  <si>
    <t>P00439</t>
  </si>
  <si>
    <t>P00440</t>
  </si>
  <si>
    <t>P00441</t>
  </si>
  <si>
    <t>P00442</t>
  </si>
  <si>
    <t>P00443</t>
  </si>
  <si>
    <t>P00444</t>
  </si>
  <si>
    <t>P00445</t>
  </si>
  <si>
    <t>P00446</t>
  </si>
  <si>
    <t>P00447</t>
  </si>
  <si>
    <t>P00448</t>
  </si>
  <si>
    <t>P00449</t>
  </si>
  <si>
    <t>P00450</t>
  </si>
  <si>
    <t>P00451</t>
  </si>
  <si>
    <t>P00452</t>
  </si>
  <si>
    <t>P00453</t>
  </si>
  <si>
    <t>P00454</t>
  </si>
  <si>
    <t>P00455</t>
  </si>
  <si>
    <t>P00456</t>
  </si>
  <si>
    <t>P00457</t>
  </si>
  <si>
    <t>P00458</t>
  </si>
  <si>
    <t>P00459</t>
  </si>
  <si>
    <t>P00460</t>
  </si>
  <si>
    <t>P00461</t>
  </si>
  <si>
    <t>P00462</t>
  </si>
  <si>
    <t>P00463</t>
  </si>
  <si>
    <t>P00464</t>
  </si>
  <si>
    <t>P00465</t>
  </si>
  <si>
    <t>P00466</t>
  </si>
  <si>
    <t>P00467</t>
  </si>
  <si>
    <t>P00468</t>
  </si>
  <si>
    <t>P00469</t>
  </si>
  <si>
    <t>P00470</t>
  </si>
  <si>
    <t>P00471</t>
  </si>
  <si>
    <t>P00472</t>
  </si>
  <si>
    <t>P00473</t>
  </si>
  <si>
    <t>P00474</t>
  </si>
  <si>
    <t>P00475</t>
  </si>
  <si>
    <t>P00476</t>
  </si>
  <si>
    <t>P00477</t>
  </si>
  <si>
    <t>P00478</t>
  </si>
  <si>
    <t>P00479</t>
  </si>
  <si>
    <t>P00480</t>
  </si>
  <si>
    <t>P00481</t>
  </si>
  <si>
    <t>P00482</t>
  </si>
  <si>
    <t>P00483</t>
  </si>
  <si>
    <t>P00484</t>
  </si>
  <si>
    <t>P00485</t>
  </si>
  <si>
    <t>P00486</t>
  </si>
  <si>
    <t>P00487</t>
  </si>
  <si>
    <t>P00488</t>
  </si>
  <si>
    <t>P00489</t>
  </si>
  <si>
    <t>P00490</t>
  </si>
  <si>
    <t>P00491</t>
  </si>
  <si>
    <t>P00492</t>
  </si>
  <si>
    <t>P00493</t>
  </si>
  <si>
    <t>P00494</t>
  </si>
  <si>
    <t>P00495</t>
  </si>
  <si>
    <t>P00496</t>
  </si>
  <si>
    <t>P00497</t>
  </si>
  <si>
    <t>P00498</t>
  </si>
  <si>
    <t>P00499</t>
  </si>
  <si>
    <t>P00500</t>
  </si>
  <si>
    <t>P00501</t>
  </si>
  <si>
    <t>P00502</t>
  </si>
  <si>
    <t>P00503</t>
  </si>
  <si>
    <t>P00504</t>
  </si>
  <si>
    <t>P00505</t>
  </si>
  <si>
    <t>P00506</t>
  </si>
  <si>
    <t>P00507</t>
  </si>
  <si>
    <t>P00508</t>
  </si>
  <si>
    <t>P00509</t>
  </si>
  <si>
    <t>P00510</t>
  </si>
  <si>
    <t>P00511</t>
  </si>
  <si>
    <t>P00512</t>
  </si>
  <si>
    <t>P00513</t>
  </si>
  <si>
    <t>P00514</t>
  </si>
  <si>
    <t>P00515</t>
  </si>
  <si>
    <t>P00516</t>
  </si>
  <si>
    <t>P00517</t>
  </si>
  <si>
    <t>P00518</t>
  </si>
  <si>
    <t>P00519</t>
  </si>
  <si>
    <t>P00520</t>
  </si>
  <si>
    <t>P00521</t>
  </si>
  <si>
    <t>P00522</t>
  </si>
  <si>
    <t>P00523</t>
  </si>
  <si>
    <t>P00524</t>
  </si>
  <si>
    <t>P00525</t>
  </si>
  <si>
    <t>P00526</t>
  </si>
  <si>
    <t>P00527</t>
  </si>
  <si>
    <t>P00528</t>
  </si>
  <si>
    <t>P00529</t>
  </si>
  <si>
    <t>P00530</t>
  </si>
  <si>
    <t>P00531</t>
  </si>
  <si>
    <t>P00532</t>
  </si>
  <si>
    <t>P00533</t>
  </si>
  <si>
    <t>P00534</t>
  </si>
  <si>
    <t>P00535</t>
  </si>
  <si>
    <t>P00536</t>
  </si>
  <si>
    <t>P00537</t>
  </si>
  <si>
    <t>P00538</t>
  </si>
  <si>
    <t>P00539</t>
  </si>
  <si>
    <t>P00540</t>
  </si>
  <si>
    <t>P00541</t>
  </si>
  <si>
    <t>P00542</t>
  </si>
  <si>
    <t>P00543</t>
  </si>
  <si>
    <t>P00544</t>
  </si>
  <si>
    <t>P00545</t>
  </si>
  <si>
    <t>P00546</t>
  </si>
  <si>
    <t>P00547</t>
  </si>
  <si>
    <t>P00548</t>
  </si>
  <si>
    <t>P00549</t>
  </si>
  <si>
    <t>P00550</t>
  </si>
  <si>
    <t>P00551</t>
  </si>
  <si>
    <t>P00552</t>
  </si>
  <si>
    <t>P00553</t>
  </si>
  <si>
    <t>P00554</t>
  </si>
  <si>
    <t>P00555</t>
  </si>
  <si>
    <t>P00556</t>
  </si>
  <si>
    <t>P00557</t>
  </si>
  <si>
    <t>P00558</t>
  </si>
  <si>
    <t>P00559</t>
  </si>
  <si>
    <t>P00560</t>
  </si>
  <si>
    <t>P00561</t>
  </si>
  <si>
    <t>P00562</t>
  </si>
  <si>
    <t>P00563</t>
  </si>
  <si>
    <t>P00564</t>
  </si>
  <si>
    <t>P00565</t>
  </si>
  <si>
    <t>P00566</t>
  </si>
  <si>
    <t>P00567</t>
  </si>
  <si>
    <t>P00568</t>
  </si>
  <si>
    <t>P00569</t>
  </si>
  <si>
    <t>P00570</t>
  </si>
  <si>
    <t>P00571</t>
  </si>
  <si>
    <t>P00572</t>
  </si>
  <si>
    <t>P00573</t>
  </si>
  <si>
    <t>P00574</t>
  </si>
  <si>
    <t>P00575</t>
  </si>
  <si>
    <t>P00576</t>
  </si>
  <si>
    <t>P00577</t>
  </si>
  <si>
    <t>P00578</t>
  </si>
  <si>
    <t>P00579</t>
  </si>
  <si>
    <t>P00580</t>
  </si>
  <si>
    <t>P00581</t>
  </si>
  <si>
    <t>P00582</t>
  </si>
  <si>
    <t>P00583</t>
  </si>
  <si>
    <t>P00584</t>
  </si>
  <si>
    <t>P00585</t>
  </si>
  <si>
    <t>P00586</t>
  </si>
  <si>
    <t>P00587</t>
  </si>
  <si>
    <t>P00588</t>
  </si>
  <si>
    <t>P00589</t>
  </si>
  <si>
    <t>P00590</t>
  </si>
  <si>
    <t>P00591</t>
  </si>
  <si>
    <t>P00592</t>
  </si>
  <si>
    <t>P00593</t>
  </si>
  <si>
    <t>P00594</t>
  </si>
  <si>
    <t>P00595</t>
  </si>
  <si>
    <t>P00596</t>
  </si>
  <si>
    <t>P00597</t>
  </si>
  <si>
    <t>P00598</t>
  </si>
  <si>
    <t>P00599</t>
  </si>
  <si>
    <t>P00600</t>
  </si>
  <si>
    <t>P00601</t>
  </si>
  <si>
    <t>P00602</t>
  </si>
  <si>
    <t>P00603</t>
  </si>
  <si>
    <t>P00604</t>
  </si>
  <si>
    <t>P00605</t>
  </si>
  <si>
    <t>P00606</t>
  </si>
  <si>
    <t>P00607</t>
  </si>
  <si>
    <t>P00608</t>
  </si>
  <si>
    <t>P00609</t>
  </si>
  <si>
    <t>P00610</t>
  </si>
  <si>
    <t>P00611</t>
  </si>
  <si>
    <t>P00612</t>
  </si>
  <si>
    <t>P00613</t>
  </si>
  <si>
    <t>P00614</t>
  </si>
  <si>
    <t>P00615</t>
  </si>
  <si>
    <t>P00616</t>
  </si>
  <si>
    <t>P00617</t>
  </si>
  <si>
    <t>P00618</t>
  </si>
  <si>
    <t>P00619</t>
  </si>
  <si>
    <t>P00620</t>
  </si>
  <si>
    <t>P00621</t>
  </si>
  <si>
    <t>P00622</t>
  </si>
  <si>
    <t>P00623</t>
  </si>
  <si>
    <t>P00624</t>
  </si>
  <si>
    <t>P00625</t>
  </si>
  <si>
    <t>P00626</t>
  </si>
  <si>
    <t>P00627</t>
  </si>
  <si>
    <t>P00628</t>
  </si>
  <si>
    <t>P00629</t>
  </si>
  <si>
    <t>P00630</t>
  </si>
  <si>
    <t>P00631</t>
  </si>
  <si>
    <t>P00632</t>
  </si>
  <si>
    <t>P00633</t>
  </si>
  <si>
    <t>P00634</t>
  </si>
  <si>
    <t>P00635</t>
  </si>
  <si>
    <t>P00636</t>
  </si>
  <si>
    <t>P00637</t>
  </si>
  <si>
    <t>P00638</t>
  </si>
  <si>
    <t>P00639</t>
  </si>
  <si>
    <t>P00640</t>
  </si>
  <si>
    <t>P00641</t>
  </si>
  <si>
    <t>P00642</t>
  </si>
  <si>
    <t>P00643</t>
  </si>
  <si>
    <t>P00644</t>
  </si>
  <si>
    <t>P00645</t>
  </si>
  <si>
    <t>P00646</t>
  </si>
  <si>
    <t>P00647</t>
  </si>
  <si>
    <t>P00648</t>
  </si>
  <si>
    <t>P00649</t>
  </si>
  <si>
    <t>P00650</t>
  </si>
  <si>
    <t>P00651</t>
  </si>
  <si>
    <t>P00652</t>
  </si>
  <si>
    <t>P00653</t>
  </si>
  <si>
    <t>P00654</t>
  </si>
  <si>
    <t>P00655</t>
  </si>
  <si>
    <t>P00656</t>
  </si>
  <si>
    <t>P00657</t>
  </si>
  <si>
    <t>P00658</t>
  </si>
  <si>
    <t>P00659</t>
  </si>
  <si>
    <t>P00660</t>
  </si>
  <si>
    <t>P00661</t>
  </si>
  <si>
    <t>P00662</t>
  </si>
  <si>
    <t>P00663</t>
  </si>
  <si>
    <t>P00664</t>
  </si>
  <si>
    <t>P00665</t>
  </si>
  <si>
    <t>P00666</t>
  </si>
  <si>
    <t>P00667</t>
  </si>
  <si>
    <t>P00668</t>
  </si>
  <si>
    <t>P00669</t>
  </si>
  <si>
    <t>P00670</t>
  </si>
  <si>
    <t>P00671</t>
  </si>
  <si>
    <t>P00672</t>
  </si>
  <si>
    <t>P00673</t>
  </si>
  <si>
    <t>P00674</t>
  </si>
  <si>
    <t>P00675</t>
  </si>
  <si>
    <t>P00676</t>
  </si>
  <si>
    <t>P00677</t>
  </si>
  <si>
    <t>P00678</t>
  </si>
  <si>
    <t>P00679</t>
  </si>
  <si>
    <t>P00680</t>
  </si>
  <si>
    <t>P00681</t>
  </si>
  <si>
    <t>P00682</t>
  </si>
  <si>
    <t>P00683</t>
  </si>
  <si>
    <t>P00684</t>
  </si>
  <si>
    <t>P00685</t>
  </si>
  <si>
    <t>P00686</t>
  </si>
  <si>
    <t>P00687</t>
  </si>
  <si>
    <t>P00688</t>
  </si>
  <si>
    <t>P00689</t>
  </si>
  <si>
    <t>P00690</t>
  </si>
  <si>
    <t>P00691</t>
  </si>
  <si>
    <t>P00692</t>
  </si>
  <si>
    <t>P00693</t>
  </si>
  <si>
    <t>P00694</t>
  </si>
  <si>
    <t>P00695</t>
  </si>
  <si>
    <t>P00696</t>
  </si>
  <si>
    <t>P00697</t>
  </si>
  <si>
    <t>P00698</t>
  </si>
  <si>
    <t>P00699</t>
  </si>
  <si>
    <t>P00700</t>
  </si>
  <si>
    <t>P00701</t>
  </si>
  <si>
    <t>P00702</t>
  </si>
  <si>
    <t>P00703</t>
  </si>
  <si>
    <t>P00704</t>
  </si>
  <si>
    <t>P00705</t>
  </si>
  <si>
    <t>P00706</t>
  </si>
  <si>
    <t>P00707</t>
  </si>
  <si>
    <t>P00708</t>
  </si>
  <si>
    <t>P00709</t>
  </si>
  <si>
    <t>P00710</t>
  </si>
  <si>
    <t>P00711</t>
  </si>
  <si>
    <t>P00712</t>
  </si>
  <si>
    <t>P00713</t>
  </si>
  <si>
    <t>P00714</t>
  </si>
  <si>
    <t>P00715</t>
  </si>
  <si>
    <t>P00716</t>
  </si>
  <si>
    <t>P00717</t>
  </si>
  <si>
    <t>P00718</t>
  </si>
  <si>
    <t>P00719</t>
  </si>
  <si>
    <t>P00720</t>
  </si>
  <si>
    <t>P00721</t>
  </si>
  <si>
    <t>P00722</t>
  </si>
  <si>
    <t>P00723</t>
  </si>
  <si>
    <t>P00724</t>
  </si>
  <si>
    <t>P00725</t>
  </si>
  <si>
    <t>P00726</t>
  </si>
  <si>
    <t>P00727</t>
  </si>
  <si>
    <t>P00728</t>
  </si>
  <si>
    <t>P00729</t>
  </si>
  <si>
    <t>P00730</t>
  </si>
  <si>
    <t>P00731</t>
  </si>
  <si>
    <t>P00732</t>
  </si>
  <si>
    <t>P00733</t>
  </si>
  <si>
    <t>P00734</t>
  </si>
  <si>
    <t>P00735</t>
  </si>
  <si>
    <t>P00736</t>
  </si>
  <si>
    <t>P00737</t>
  </si>
  <si>
    <t>P00738</t>
  </si>
  <si>
    <t>P00739</t>
  </si>
  <si>
    <t>P00740</t>
  </si>
  <si>
    <t>P00741</t>
  </si>
  <si>
    <t>P00742</t>
  </si>
  <si>
    <t>P00743</t>
  </si>
  <si>
    <t>P00744</t>
  </si>
  <si>
    <t>P00745</t>
  </si>
  <si>
    <t>P00746</t>
  </si>
  <si>
    <t>P00747</t>
  </si>
  <si>
    <t>P00748</t>
  </si>
  <si>
    <t>P00749</t>
  </si>
  <si>
    <t>P00750</t>
  </si>
  <si>
    <t>P00751</t>
  </si>
  <si>
    <t>P00752</t>
  </si>
  <si>
    <t>P00753</t>
  </si>
  <si>
    <t>P00754</t>
  </si>
  <si>
    <t>P00755</t>
  </si>
  <si>
    <t>P00756</t>
  </si>
  <si>
    <t>P00757</t>
  </si>
  <si>
    <t>P00758</t>
  </si>
  <si>
    <t>P00759</t>
  </si>
  <si>
    <t>P00760</t>
  </si>
  <si>
    <t>P00761</t>
  </si>
  <si>
    <t>P00762</t>
  </si>
  <si>
    <t>P00763</t>
  </si>
  <si>
    <t>P00764</t>
  </si>
  <si>
    <t>P00765</t>
  </si>
  <si>
    <t>P00766</t>
  </si>
  <si>
    <t>P00767</t>
  </si>
  <si>
    <t>P00768</t>
  </si>
  <si>
    <t>P00769</t>
  </si>
  <si>
    <t>P00770</t>
  </si>
  <si>
    <t>P00771</t>
  </si>
  <si>
    <t>P00772</t>
  </si>
  <si>
    <t>P00773</t>
  </si>
  <si>
    <t>P00774</t>
  </si>
  <si>
    <t>P00775</t>
  </si>
  <si>
    <t>P00776</t>
  </si>
  <si>
    <t>P00777</t>
  </si>
  <si>
    <t>P00778</t>
  </si>
  <si>
    <t>P00779</t>
  </si>
  <si>
    <t>P00780</t>
  </si>
  <si>
    <t>P00781</t>
  </si>
  <si>
    <t>P00782</t>
  </si>
  <si>
    <t>P00783</t>
  </si>
  <si>
    <t>P00784</t>
  </si>
  <si>
    <t>P00785</t>
  </si>
  <si>
    <t>P00786</t>
  </si>
  <si>
    <t>P00787</t>
  </si>
  <si>
    <t>P00788</t>
  </si>
  <si>
    <t>P00789</t>
  </si>
  <si>
    <t>P00790</t>
  </si>
  <si>
    <t>P00791</t>
  </si>
  <si>
    <t>P00792</t>
  </si>
  <si>
    <t>P00793</t>
  </si>
  <si>
    <t>P00794</t>
  </si>
  <si>
    <t>P00795</t>
  </si>
  <si>
    <t>P00796</t>
  </si>
  <si>
    <t>P00797</t>
  </si>
  <si>
    <t>P00798</t>
  </si>
  <si>
    <t>P00799</t>
  </si>
  <si>
    <t>P00800</t>
  </si>
  <si>
    <t>P00801</t>
  </si>
  <si>
    <t>P00802</t>
  </si>
  <si>
    <t>P00803</t>
  </si>
  <si>
    <t>P00804</t>
  </si>
  <si>
    <t>P00805</t>
  </si>
  <si>
    <t>P00806</t>
  </si>
  <si>
    <t>P00807</t>
  </si>
  <si>
    <t>P00808</t>
  </si>
  <si>
    <t>P00809</t>
  </si>
  <si>
    <t>P00810</t>
  </si>
  <si>
    <t>P00811</t>
  </si>
  <si>
    <t>P00812</t>
  </si>
  <si>
    <t>P00813</t>
  </si>
  <si>
    <t>P00814</t>
  </si>
  <si>
    <t>P00815</t>
  </si>
  <si>
    <t>P00816</t>
  </si>
  <si>
    <t>P00817</t>
  </si>
  <si>
    <t>P00818</t>
  </si>
  <si>
    <t>P00819</t>
  </si>
  <si>
    <t>P00820</t>
  </si>
  <si>
    <t>P00821</t>
  </si>
  <si>
    <t>P00822</t>
  </si>
  <si>
    <t>P00823</t>
  </si>
  <si>
    <t>P00824</t>
  </si>
  <si>
    <t>P00825</t>
  </si>
  <si>
    <t>P00826</t>
  </si>
  <si>
    <t>P00827</t>
  </si>
  <si>
    <t>P00828</t>
  </si>
  <si>
    <t>P00829</t>
  </si>
  <si>
    <t>P00830</t>
  </si>
  <si>
    <t>P00831</t>
  </si>
  <si>
    <t>P00832</t>
  </si>
  <si>
    <t>P00833</t>
  </si>
  <si>
    <t>P00834</t>
  </si>
  <si>
    <t>P00835</t>
  </si>
  <si>
    <t>P00836</t>
  </si>
  <si>
    <t>P00837</t>
  </si>
  <si>
    <t>P00838</t>
  </si>
  <si>
    <t>P00839</t>
  </si>
  <si>
    <t>P00840</t>
  </si>
  <si>
    <t>P00841</t>
  </si>
  <si>
    <t>P00842</t>
  </si>
  <si>
    <t>P00843</t>
  </si>
  <si>
    <t>P00844</t>
  </si>
  <si>
    <t>P00845</t>
  </si>
  <si>
    <t>P00846</t>
  </si>
  <si>
    <t>P00847</t>
  </si>
  <si>
    <t>P00848</t>
  </si>
  <si>
    <t>P00849</t>
  </si>
  <si>
    <t>P00850</t>
  </si>
  <si>
    <t>P00851</t>
  </si>
  <si>
    <t>P00852</t>
  </si>
  <si>
    <t>P00853</t>
  </si>
  <si>
    <t>P00854</t>
  </si>
  <si>
    <t>P00855</t>
  </si>
  <si>
    <t>P00856</t>
  </si>
  <si>
    <t>P00857</t>
  </si>
  <si>
    <t>P00858</t>
  </si>
  <si>
    <t>P00859</t>
  </si>
  <si>
    <t>P00860</t>
  </si>
  <si>
    <t>P00861</t>
  </si>
  <si>
    <t>P00862</t>
  </si>
  <si>
    <t>P00863</t>
  </si>
  <si>
    <t>P00864</t>
  </si>
  <si>
    <t>P00865</t>
  </si>
  <si>
    <t>P00866</t>
  </si>
  <si>
    <t>P00867</t>
  </si>
  <si>
    <t>P00868</t>
  </si>
  <si>
    <t>P00869</t>
  </si>
  <si>
    <t>P00870</t>
  </si>
  <si>
    <t>P00871</t>
  </si>
  <si>
    <t>P00872</t>
  </si>
  <si>
    <t>P00873</t>
  </si>
  <si>
    <t>P00874</t>
  </si>
  <si>
    <t>P00875</t>
  </si>
  <si>
    <t>P00876</t>
  </si>
  <si>
    <t>P00877</t>
  </si>
  <si>
    <t>P00878</t>
  </si>
  <si>
    <t>P00879</t>
  </si>
  <si>
    <t>P00880</t>
  </si>
  <si>
    <t>P00881</t>
  </si>
  <si>
    <t>P00882</t>
  </si>
  <si>
    <t>P00883</t>
  </si>
  <si>
    <t>P00884</t>
  </si>
  <si>
    <t>P00885</t>
  </si>
  <si>
    <t>P00886</t>
  </si>
  <si>
    <t>P00887</t>
  </si>
  <si>
    <t>P00888</t>
  </si>
  <si>
    <t>P00889</t>
  </si>
  <si>
    <t>P00890</t>
  </si>
  <si>
    <t>P00891</t>
  </si>
  <si>
    <t>P00892</t>
  </si>
  <si>
    <t>P00893</t>
  </si>
  <si>
    <t>P00894</t>
  </si>
  <si>
    <t>P00895</t>
  </si>
  <si>
    <t>P00896</t>
  </si>
  <si>
    <t>P00897</t>
  </si>
  <si>
    <t>P00898</t>
  </si>
  <si>
    <t>P00899</t>
  </si>
  <si>
    <t>P00900</t>
  </si>
  <si>
    <t>P00901</t>
  </si>
  <si>
    <t>P00902</t>
  </si>
  <si>
    <t>P00903</t>
  </si>
  <si>
    <t>P00904</t>
  </si>
  <si>
    <t>P00905</t>
  </si>
  <si>
    <t>P00906</t>
  </si>
  <si>
    <t>P00907</t>
  </si>
  <si>
    <t>P00908</t>
  </si>
  <si>
    <t>P00909</t>
  </si>
  <si>
    <t>P00910</t>
  </si>
  <si>
    <t>P00911</t>
  </si>
  <si>
    <t>P00912</t>
  </si>
  <si>
    <t>P00913</t>
  </si>
  <si>
    <t>P00914</t>
  </si>
  <si>
    <t>P00915</t>
  </si>
  <si>
    <t>P00916</t>
  </si>
  <si>
    <t>P00917</t>
  </si>
  <si>
    <t>P00918</t>
  </si>
  <si>
    <t>P00919</t>
  </si>
  <si>
    <t>P00920</t>
  </si>
  <si>
    <t>P00921</t>
  </si>
  <si>
    <t>P00922</t>
  </si>
  <si>
    <t>P00923</t>
  </si>
  <si>
    <t>P00924</t>
  </si>
  <si>
    <t>P00925</t>
  </si>
  <si>
    <t>P00926</t>
  </si>
  <si>
    <t>P00927</t>
  </si>
  <si>
    <t>P00928</t>
  </si>
  <si>
    <t>P00929</t>
  </si>
  <si>
    <t>P00930</t>
  </si>
  <si>
    <t>P00931</t>
  </si>
  <si>
    <t>P00932</t>
  </si>
  <si>
    <t>P00933</t>
  </si>
  <si>
    <t>P00934</t>
  </si>
  <si>
    <t>P00935</t>
  </si>
  <si>
    <t>P00936</t>
  </si>
  <si>
    <t>P00937</t>
  </si>
  <si>
    <t>P00938</t>
  </si>
  <si>
    <t>P00939</t>
  </si>
  <si>
    <t>P00940</t>
  </si>
  <si>
    <t>P00941</t>
  </si>
  <si>
    <t>P00942</t>
  </si>
  <si>
    <t>P00943</t>
  </si>
  <si>
    <t>P00944</t>
  </si>
  <si>
    <t>P00945</t>
  </si>
  <si>
    <t>P00946</t>
  </si>
  <si>
    <t>P00947</t>
  </si>
  <si>
    <t>P00948</t>
  </si>
  <si>
    <t>P00949</t>
  </si>
  <si>
    <t>P00950</t>
  </si>
  <si>
    <t>P00951</t>
  </si>
  <si>
    <t>P00952</t>
  </si>
  <si>
    <t>P00953</t>
  </si>
  <si>
    <t>P00954</t>
  </si>
  <si>
    <t>P00955</t>
  </si>
  <si>
    <t>P00956</t>
  </si>
  <si>
    <t>P00957</t>
  </si>
  <si>
    <t>P00958</t>
  </si>
  <si>
    <t>P00959</t>
  </si>
  <si>
    <t>P00960</t>
  </si>
  <si>
    <t>P00961</t>
  </si>
  <si>
    <t>P00962</t>
  </si>
  <si>
    <t>P00963</t>
  </si>
  <si>
    <t>P00964</t>
  </si>
  <si>
    <t>P00965</t>
  </si>
  <si>
    <t>P00966</t>
  </si>
  <si>
    <t>P00967</t>
  </si>
  <si>
    <t>P00968</t>
  </si>
  <si>
    <t>P00969</t>
  </si>
  <si>
    <t>P00970</t>
  </si>
  <si>
    <t>P00971</t>
  </si>
  <si>
    <t>P00972</t>
  </si>
  <si>
    <t>P00973</t>
  </si>
  <si>
    <t>P00974</t>
  </si>
  <si>
    <t>P00975</t>
  </si>
  <si>
    <t>P00976</t>
  </si>
  <si>
    <t>P00977</t>
  </si>
  <si>
    <t>P00978</t>
  </si>
  <si>
    <t>P00979</t>
  </si>
  <si>
    <t>P00980</t>
  </si>
  <si>
    <t>P00981</t>
  </si>
  <si>
    <t>P00982</t>
  </si>
  <si>
    <t>P00983</t>
  </si>
  <si>
    <t>P00984</t>
  </si>
  <si>
    <t>P00985</t>
  </si>
  <si>
    <t>P00986</t>
  </si>
  <si>
    <t>P00987</t>
  </si>
  <si>
    <t>P00988</t>
  </si>
  <si>
    <t>P00989</t>
  </si>
  <si>
    <t>P00990</t>
  </si>
  <si>
    <t>P00991</t>
  </si>
  <si>
    <t>P00992</t>
  </si>
  <si>
    <t>P00993</t>
  </si>
  <si>
    <t>P00994</t>
  </si>
  <si>
    <t>P00995</t>
  </si>
  <si>
    <t>P00996</t>
  </si>
  <si>
    <t>P00997</t>
  </si>
  <si>
    <t>P00998</t>
  </si>
  <si>
    <t>P00999</t>
  </si>
  <si>
    <t>P01000</t>
  </si>
  <si>
    <t>which brand has the highest average selling price?</t>
  </si>
  <si>
    <t>which condition has the highest resale value?</t>
  </si>
  <si>
    <t>does RAM affect selling price?</t>
  </si>
  <si>
    <t>does storage affect selling price?</t>
  </si>
  <si>
    <t>does phone age affect price?</t>
  </si>
  <si>
    <t>Battery Health</t>
  </si>
  <si>
    <t>Yellow</t>
  </si>
  <si>
    <t>Red</t>
  </si>
  <si>
    <t>&gt; 90</t>
  </si>
  <si>
    <t>80 - 90</t>
  </si>
  <si>
    <t>&lt; 80</t>
  </si>
  <si>
    <t>Row Labels</t>
  </si>
  <si>
    <t>Grand Total</t>
  </si>
  <si>
    <t>Average of Selling_Price_USD</t>
  </si>
  <si>
    <t>Average Selling Price by Condition</t>
  </si>
  <si>
    <t>Average Selling Price by Brand</t>
  </si>
  <si>
    <t>Average Selling Price by Storage</t>
  </si>
  <si>
    <t>Column Labels</t>
  </si>
  <si>
    <t>Count of Phone_ID</t>
  </si>
  <si>
    <t>Phone ID by Brand</t>
  </si>
  <si>
    <t>Average of Battery_Health_Percent</t>
  </si>
  <si>
    <t>Average Battery Health by Brand</t>
  </si>
  <si>
    <t>Count of Selling_Price_USD</t>
  </si>
  <si>
    <t xml:space="preserve">Seller type by brand </t>
  </si>
  <si>
    <t>Hasil</t>
  </si>
  <si>
    <t>Arti</t>
  </si>
  <si>
    <t>Tidak ada hubungan</t>
  </si>
  <si>
    <t>Lemah</t>
  </si>
  <si>
    <t>Sedang</t>
  </si>
  <si>
    <t>Kuat</t>
  </si>
  <si>
    <t>Conditional Formatting</t>
  </si>
  <si>
    <t>0,2</t>
  </si>
  <si>
    <t>0,5</t>
  </si>
  <si>
    <t>0,7</t>
  </si>
  <si>
    <t>average Selling Price for jakarta + Excellent</t>
  </si>
  <si>
    <t>=AVERAGEIFS(Table2[Selling_Price_USD],Table2[City],"Jakarta",Table2[Condition],"Excellent")</t>
  </si>
  <si>
    <r>
      <t>OnePlus</t>
    </r>
    <r>
      <rPr>
        <sz val="10"/>
        <color theme="1"/>
        <rFont val="Calibri"/>
        <family val="2"/>
        <scheme val="minor"/>
      </rPr>
      <t xml:space="preserve"> has the highest average selling price among all brands.</t>
    </r>
  </si>
  <si>
    <r>
      <t>Like New</t>
    </r>
    <r>
      <rPr>
        <sz val="10"/>
        <color theme="1"/>
        <rFont val="Calibri"/>
        <family val="2"/>
        <scheme val="minor"/>
      </rPr>
      <t xml:space="preserve"> phones achieve the highest resale value.</t>
    </r>
  </si>
  <si>
    <r>
      <t>RAM</t>
    </r>
    <r>
      <rPr>
        <sz val="10"/>
        <color theme="1"/>
        <rFont val="Calibri"/>
        <family val="2"/>
        <scheme val="minor"/>
      </rPr>
      <t xml:space="preserve"> has little impact on selling price.</t>
    </r>
  </si>
  <si>
    <r>
      <t>Storage capacity</t>
    </r>
    <r>
      <rPr>
        <sz val="10"/>
        <color theme="1"/>
        <rFont val="Calibri"/>
        <family val="2"/>
        <scheme val="minor"/>
      </rPr>
      <t xml:space="preserve"> has a moderate positive impact on price.</t>
    </r>
  </si>
  <si>
    <r>
      <t>Phone age</t>
    </r>
    <r>
      <rPr>
        <sz val="10"/>
        <color theme="1"/>
        <rFont val="Calibri"/>
        <family val="2"/>
        <scheme val="minor"/>
      </rPr>
      <t xml:space="preserve"> does not significantly influence price in this dataset, suggesting that the synthetic data could be improved by introducing stronger price depreciation over time.</t>
    </r>
  </si>
  <si>
    <t>warranty store orders count</t>
  </si>
  <si>
    <t>Individual orders count</t>
  </si>
  <si>
    <t>=COUNTIF(Table2[Seller_Type],"Individual")</t>
  </si>
  <si>
    <t>=COUNTIFS(Table2[Seller_Type],"Individual",Table2[Warranty],"Yes")</t>
  </si>
  <si>
    <t>selling price from Samsung + Like New orders</t>
  </si>
  <si>
    <t>=SUMIFS(Table2[Selling_Price_USD], Table2[Brand],"Samsung",Table2[Condition],"Like New" )</t>
  </si>
  <si>
    <t>average selling price for apple</t>
  </si>
  <si>
    <t>=AVERAGEIFS(Table2[Selling_Price_USD],Table2[Brand],"Apple" )</t>
  </si>
  <si>
    <t>Warreny</t>
  </si>
  <si>
    <t>P01001</t>
  </si>
  <si>
    <t>(All)</t>
  </si>
  <si>
    <t xml:space="preserve">Average Selling Price </t>
  </si>
  <si>
    <t xml:space="preserve">💲 </t>
  </si>
  <si>
    <t>Highest Selling Price</t>
  </si>
  <si>
    <t>Average Phone Age</t>
  </si>
  <si>
    <t xml:space="preserve">📅 </t>
  </si>
  <si>
    <t xml:space="preserve"> </t>
  </si>
  <si>
    <t>🏆</t>
  </si>
  <si>
    <r>
      <rPr>
        <sz val="12"/>
        <color theme="1"/>
        <rFont val="Calibri"/>
        <family val="2"/>
        <scheme val="minor"/>
      </rPr>
      <t>📱</t>
    </r>
    <r>
      <rPr>
        <sz val="16"/>
        <color theme="1"/>
        <rFont val="Calibri"/>
        <family val="2"/>
        <scheme val="minor"/>
      </rPr>
      <t xml:space="preserve">  Total Phones</t>
    </r>
  </si>
  <si>
    <t>Key Insight</t>
  </si>
  <si>
    <t>• OnePlus has the highest average selling price.</t>
  </si>
  <si>
    <t>• Like New phones have the highest resale value.</t>
  </si>
  <si>
    <t>• Storage capacity has a stronger relationship with selling price than RAM.</t>
  </si>
  <si>
    <t>• Phone age has only a weak relationship with selling price.</t>
  </si>
  <si>
    <t>Max of Selling_Price_USD</t>
  </si>
  <si>
    <t>Average of Age_Years</t>
  </si>
  <si>
    <t>USED PHONE PRICE ANALYST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</si>
</sst>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0\ &quot;Years&quot;"/>
    <numFmt numFmtId="166" formatCode="&quot;$&quot;#,##0.00"/>
  </numFmts>
  <fonts count="13">
    <font>
      <sz val="11"/>
      <color theme="1"/>
      <name val="Calibri"/>
      <family val="2"/>
      <scheme val="minor"/>
    </font>
    <font>
      <b/>
      <sz val="11"/>
      <color theme="1"/>
      <name val="Calibri"/>
      <family val="2"/>
      <scheme val="minor"/>
    </font>
    <font>
      <sz val="10"/>
      <color theme="1"/>
      <name val="Aptos"/>
    </font>
    <font>
      <sz val="11"/>
      <color theme="1"/>
      <name val="Calibri"/>
      <family val="2"/>
      <scheme val="minor"/>
    </font>
    <font>
      <b/>
      <sz val="10"/>
      <color theme="1"/>
      <name val="Calibri"/>
      <family val="2"/>
      <scheme val="minor"/>
    </font>
    <font>
      <sz val="10"/>
      <color theme="1"/>
      <name val="Calibri"/>
      <family val="2"/>
      <scheme val="minor"/>
    </font>
    <font>
      <sz val="22"/>
      <color theme="1"/>
      <name val="Calibri"/>
      <family val="2"/>
      <scheme val="minor"/>
    </font>
    <font>
      <sz val="20"/>
      <color theme="0"/>
      <name val="Apatos"/>
    </font>
    <font>
      <sz val="16"/>
      <color theme="1"/>
      <name val="Calibri"/>
      <family val="2"/>
      <scheme val="minor"/>
    </font>
    <font>
      <sz val="12"/>
      <color theme="1"/>
      <name val="Calibri"/>
      <family val="2"/>
      <scheme val="minor"/>
    </font>
    <font>
      <sz val="14"/>
      <color theme="1"/>
      <name val="Calibri"/>
      <family val="2"/>
      <scheme val="minor"/>
    </font>
    <font>
      <sz val="24"/>
      <color theme="1"/>
      <name val="Calibri"/>
      <family val="2"/>
      <scheme val="minor"/>
    </font>
    <font>
      <sz val="26"/>
      <color theme="1"/>
      <name val="Calibri"/>
      <family val="2"/>
      <scheme val="minor"/>
    </font>
  </fonts>
  <fills count="8">
    <fill>
      <patternFill patternType="none"/>
    </fill>
    <fill>
      <patternFill patternType="gray125"/>
    </fill>
    <fill>
      <patternFill patternType="solid">
        <fgColor theme="6"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4" tint="0.79998168889431442"/>
        <bgColor indexed="65"/>
      </patternFill>
    </fill>
    <fill>
      <patternFill patternType="solid">
        <fgColor theme="0" tint="-0.14999847407452621"/>
        <bgColor indexed="64"/>
      </patternFill>
    </fill>
    <fill>
      <patternFill patternType="solid">
        <fgColor rgb="FF00206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D9E2EC"/>
      </left>
      <right style="thin">
        <color rgb="FFD9E2EC"/>
      </right>
      <top style="thin">
        <color rgb="FFD9E2EC"/>
      </top>
      <bottom style="thin">
        <color rgb="FFD9E2EC"/>
      </bottom>
      <diagonal/>
    </border>
    <border>
      <left/>
      <right/>
      <top/>
      <bottom style="thin">
        <color indexed="64"/>
      </bottom>
      <diagonal/>
    </border>
    <border>
      <left/>
      <right/>
      <top/>
      <bottom style="medium">
        <color indexed="64"/>
      </bottom>
      <diagonal/>
    </border>
  </borders>
  <cellStyleXfs count="3">
    <xf numFmtId="0" fontId="0" fillId="0" borderId="0"/>
    <xf numFmtId="44" fontId="3" fillId="0" borderId="0" applyFont="0" applyFill="0" applyBorder="0" applyAlignment="0" applyProtection="0"/>
    <xf numFmtId="0" fontId="3" fillId="5" borderId="0" applyNumberFormat="0" applyBorder="0" applyAlignment="0" applyProtection="0"/>
  </cellStyleXfs>
  <cellXfs count="46">
    <xf numFmtId="0" fontId="0" fillId="0" borderId="0" xfId="0"/>
    <xf numFmtId="0" fontId="0" fillId="0" borderId="1" xfId="0" applyBorder="1"/>
    <xf numFmtId="0" fontId="0" fillId="2" borderId="1" xfId="0" applyFill="1" applyBorder="1"/>
    <xf numFmtId="0" fontId="0" fillId="0" borderId="0" xfId="0" pivotButton="1"/>
    <xf numFmtId="0" fontId="0" fillId="0" borderId="0" xfId="0" applyAlignment="1">
      <alignment horizontal="left"/>
    </xf>
    <xf numFmtId="0" fontId="0" fillId="0" borderId="0" xfId="0" applyNumberFormat="1"/>
    <xf numFmtId="44" fontId="0" fillId="0" borderId="0" xfId="0" applyNumberFormat="1"/>
    <xf numFmtId="0" fontId="1" fillId="0" borderId="0" xfId="0" applyFont="1"/>
    <xf numFmtId="1" fontId="0" fillId="0" borderId="0" xfId="0" applyNumberFormat="1"/>
    <xf numFmtId="0" fontId="0" fillId="3" borderId="0" xfId="0" applyFill="1" applyAlignment="1">
      <alignment horizontal="left"/>
    </xf>
    <xf numFmtId="44" fontId="0" fillId="3" borderId="0" xfId="0" applyNumberFormat="1" applyFill="1"/>
    <xf numFmtId="0" fontId="0" fillId="4" borderId="0" xfId="0" applyFill="1" applyAlignment="1">
      <alignment horizontal="left"/>
    </xf>
    <xf numFmtId="44" fontId="0" fillId="4" borderId="0" xfId="0" applyNumberFormat="1" applyFill="1"/>
    <xf numFmtId="0" fontId="0" fillId="3" borderId="0" xfId="0" applyFill="1"/>
    <xf numFmtId="0" fontId="0" fillId="4" borderId="0" xfId="0" applyFill="1"/>
    <xf numFmtId="164" fontId="0" fillId="0" borderId="0" xfId="0" applyNumberFormat="1"/>
    <xf numFmtId="1" fontId="0" fillId="0" borderId="1" xfId="0" applyNumberFormat="1" applyBorder="1" applyAlignment="1">
      <alignment horizontal="center"/>
    </xf>
    <xf numFmtId="0" fontId="0" fillId="0" borderId="1" xfId="0" applyBorder="1" applyAlignment="1">
      <alignment horizontal="center"/>
    </xf>
    <xf numFmtId="0" fontId="2" fillId="0" borderId="2" xfId="0" applyFont="1" applyBorder="1" applyAlignment="1">
      <alignment vertical="top" wrapText="1"/>
    </xf>
    <xf numFmtId="0" fontId="0" fillId="0" borderId="0" xfId="0" quotePrefix="1"/>
    <xf numFmtId="0" fontId="4" fillId="0" borderId="0" xfId="0" applyFont="1"/>
    <xf numFmtId="44" fontId="0" fillId="0" borderId="0" xfId="1" applyFont="1"/>
    <xf numFmtId="44" fontId="0" fillId="0" borderId="0" xfId="1" quotePrefix="1" applyFont="1"/>
    <xf numFmtId="0" fontId="2" fillId="0" borderId="0" xfId="0" applyFont="1" applyFill="1" applyBorder="1" applyAlignment="1">
      <alignment vertical="top" wrapText="1"/>
    </xf>
    <xf numFmtId="44" fontId="0" fillId="0" borderId="0" xfId="1" quotePrefix="1" applyFont="1" applyAlignment="1">
      <alignment horizontal="left"/>
    </xf>
    <xf numFmtId="0" fontId="0" fillId="0" borderId="0" xfId="0" applyFont="1" applyBorder="1"/>
    <xf numFmtId="0" fontId="0" fillId="0" borderId="0" xfId="0" applyBorder="1"/>
    <xf numFmtId="0" fontId="3" fillId="5" borderId="3" xfId="2" applyBorder="1"/>
    <xf numFmtId="0" fontId="0" fillId="0" borderId="0" xfId="0"/>
    <xf numFmtId="165" fontId="0" fillId="0" borderId="0" xfId="0" applyNumberFormat="1"/>
    <xf numFmtId="0" fontId="0" fillId="6" borderId="0" xfId="0" applyFill="1"/>
    <xf numFmtId="0" fontId="0" fillId="6" borderId="0" xfId="0" applyFill="1" applyAlignment="1">
      <alignment horizontal="center"/>
    </xf>
    <xf numFmtId="0" fontId="9" fillId="6" borderId="0" xfId="0" applyFont="1" applyFill="1" applyAlignment="1">
      <alignment horizontal="right" vertical="center"/>
    </xf>
    <xf numFmtId="0" fontId="12" fillId="6" borderId="0" xfId="0" applyFont="1" applyFill="1"/>
    <xf numFmtId="0" fontId="10" fillId="6" borderId="0" xfId="0" applyFont="1" applyFill="1"/>
    <xf numFmtId="0" fontId="11" fillId="6" borderId="0" xfId="0" applyFont="1" applyFill="1" applyBorder="1" applyAlignment="1">
      <alignment horizontal="center" vertical="center"/>
    </xf>
    <xf numFmtId="0" fontId="11" fillId="6" borderId="4" xfId="0" applyFont="1" applyFill="1" applyBorder="1" applyAlignment="1">
      <alignment horizontal="center" vertical="center"/>
    </xf>
    <xf numFmtId="166" fontId="6" fillId="6" borderId="0" xfId="1" applyNumberFormat="1" applyFont="1" applyFill="1" applyBorder="1" applyAlignment="1">
      <alignment horizontal="center" vertical="center"/>
    </xf>
    <xf numFmtId="166" fontId="6" fillId="6" borderId="4" xfId="1" applyNumberFormat="1" applyFont="1" applyFill="1" applyBorder="1" applyAlignment="1">
      <alignment horizontal="center" vertical="center"/>
    </xf>
    <xf numFmtId="166" fontId="6" fillId="6" borderId="0" xfId="0" applyNumberFormat="1" applyFont="1" applyFill="1" applyBorder="1" applyAlignment="1">
      <alignment horizontal="center" vertical="center"/>
    </xf>
    <xf numFmtId="166" fontId="6" fillId="6" borderId="4" xfId="0" applyNumberFormat="1" applyFont="1" applyFill="1" applyBorder="1" applyAlignment="1">
      <alignment horizontal="center" vertical="center"/>
    </xf>
    <xf numFmtId="165" fontId="6" fillId="6" borderId="0" xfId="0" applyNumberFormat="1" applyFont="1" applyFill="1" applyBorder="1" applyAlignment="1">
      <alignment horizontal="center" vertical="center"/>
    </xf>
    <xf numFmtId="165" fontId="6" fillId="6" borderId="4" xfId="0" applyNumberFormat="1" applyFont="1" applyFill="1" applyBorder="1" applyAlignment="1">
      <alignment horizontal="center" vertical="center"/>
    </xf>
    <xf numFmtId="0" fontId="7" fillId="7" borderId="0" xfId="0" applyFont="1" applyFill="1" applyAlignment="1">
      <alignment horizontal="center" vertical="center"/>
    </xf>
    <xf numFmtId="0" fontId="8" fillId="6" borderId="0" xfId="0" applyFont="1" applyFill="1" applyBorder="1" applyAlignment="1">
      <alignment horizontal="center" vertical="center"/>
    </xf>
    <xf numFmtId="0" fontId="8" fillId="6" borderId="0" xfId="0" applyFont="1" applyFill="1" applyAlignment="1">
      <alignment horizontal="left" vertical="center"/>
    </xf>
  </cellXfs>
  <cellStyles count="3">
    <cellStyle name="20% - Accent1" xfId="2" builtinId="30"/>
    <cellStyle name="Currency" xfId="1" builtinId="4"/>
    <cellStyle name="Normal" xfId="0" builtinId="0"/>
  </cellStyles>
  <dxfs count="251">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C000"/>
        </patternFill>
      </fill>
    </dxf>
    <dxf>
      <fill>
        <patternFill patternType="solid">
          <bgColor rgb="FFFFC000"/>
        </patternFill>
      </fill>
    </dxf>
    <dxf>
      <fill>
        <patternFill>
          <bgColor theme="5" tint="0.39997558519241921"/>
        </patternFill>
      </fill>
    </dxf>
    <dxf>
      <fill>
        <patternFill>
          <bgColor theme="5"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fill>
        <patternFill>
          <bgColor theme="6" tint="0.39997558519241921"/>
        </patternFill>
      </fill>
    </dxf>
    <dxf>
      <fill>
        <patternFill>
          <bgColor theme="6" tint="0.39997558519241921"/>
        </patternFill>
      </fill>
    </dxf>
    <dxf>
      <numFmt numFmtId="1" formatCode="0"/>
    </dxf>
    <dxf>
      <numFmt numFmtId="13" formatCode="0%"/>
    </dxf>
    <dxf>
      <fill>
        <patternFill>
          <bgColor theme="5" tint="0.39997558519241921"/>
        </patternFill>
      </fill>
    </dxf>
    <dxf>
      <fill>
        <patternFill>
          <bgColor theme="5" tint="0.39997558519241921"/>
        </patternFill>
      </fill>
    </dxf>
    <dxf>
      <fill>
        <patternFill patternType="solid">
          <bgColor rgb="FFFFC000"/>
        </patternFill>
      </fill>
    </dxf>
    <dxf>
      <fill>
        <patternFill patternType="solid">
          <bgColor rgb="FFFFC000"/>
        </patternFill>
      </fill>
    </dxf>
    <dxf>
      <fill>
        <patternFill>
          <bgColor theme="6" tint="0.39997558519241921"/>
        </patternFill>
      </fill>
    </dxf>
    <dxf>
      <fill>
        <patternFill>
          <bgColor theme="6" tint="0.39997558519241921"/>
        </patternFill>
      </fill>
    </dxf>
    <dxf>
      <fill>
        <patternFill patternType="solid">
          <bgColor rgb="FFFFFF00"/>
        </patternFill>
      </fill>
    </dxf>
    <dxf>
      <fill>
        <patternFill patternType="solid">
          <bgColor rgb="FFFFFF00"/>
        </patternFill>
      </fill>
    </dxf>
    <dxf>
      <numFmt numFmtId="165" formatCode="0\ &quot;Years&quot;"/>
    </dxf>
    <dxf>
      <numFmt numFmtId="1" formatCode="0"/>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Light16"/>
  <colors>
    <mruColors>
      <color rgb="FFA2BDDA"/>
      <color rgb="FF8AAB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[Used_Phone_Price_Prediction_Dataset_1000.xlsx]Analysis!PivotTable1</c:name>
    <c:fmtId val="1"/>
  </c:pivotSource>
  <c:chart>
    <c:autoTitleDeleted val="1"/>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Analysis!$A$4:$A$14</c:f>
              <c:strCache>
                <c:ptCount val="10"/>
                <c:pt idx="0">
                  <c:v>Xiaomi</c:v>
                </c:pt>
                <c:pt idx="1">
                  <c:v>vivo</c:v>
                </c:pt>
                <c:pt idx="2">
                  <c:v>Samsung</c:v>
                </c:pt>
                <c:pt idx="3">
                  <c:v>Realme</c:v>
                </c:pt>
                <c:pt idx="4">
                  <c:v>OPPO</c:v>
                </c:pt>
                <c:pt idx="5">
                  <c:v>OnePlus</c:v>
                </c:pt>
                <c:pt idx="6">
                  <c:v>Motorola</c:v>
                </c:pt>
                <c:pt idx="7">
                  <c:v>Huawei</c:v>
                </c:pt>
                <c:pt idx="8">
                  <c:v>Google</c:v>
                </c:pt>
                <c:pt idx="9">
                  <c:v>Apple</c:v>
                </c:pt>
              </c:strCache>
            </c:strRef>
          </c:cat>
          <c:val>
            <c:numRef>
              <c:f>Analysis!$B$4:$B$14</c:f>
              <c:numCache>
                <c:formatCode>_("$"* #,##0.00_);_("$"* \(#,##0.00\);_("$"* "-"??_);_(@_)</c:formatCode>
                <c:ptCount val="10"/>
                <c:pt idx="0">
                  <c:v>313.02469135802471</c:v>
                </c:pt>
                <c:pt idx="1">
                  <c:v>447.78301886792451</c:v>
                </c:pt>
                <c:pt idx="2">
                  <c:v>562.58139534883719</c:v>
                </c:pt>
                <c:pt idx="3">
                  <c:v>497.40449438202245</c:v>
                </c:pt>
                <c:pt idx="4">
                  <c:v>418.07070707070704</c:v>
                </c:pt>
                <c:pt idx="5">
                  <c:v>626.11340206185571</c:v>
                </c:pt>
                <c:pt idx="6">
                  <c:v>490.29702970297029</c:v>
                </c:pt>
                <c:pt idx="7">
                  <c:v>562.51666666666665</c:v>
                </c:pt>
                <c:pt idx="8">
                  <c:v>491.47580645161293</c:v>
                </c:pt>
                <c:pt idx="9">
                  <c:v>625</c:v>
                </c:pt>
              </c:numCache>
            </c:numRef>
          </c:val>
          <c:extLst>
            <c:ext xmlns:c16="http://schemas.microsoft.com/office/drawing/2014/chart" uri="{C3380CC4-5D6E-409C-BE32-E72D297353CC}">
              <c16:uniqueId val="{00000000-F1C5-419F-946D-AA9F5293D981}"/>
            </c:ext>
          </c:extLst>
        </c:ser>
        <c:dLbls>
          <c:dLblPos val="outEnd"/>
          <c:showLegendKey val="0"/>
          <c:showVal val="1"/>
          <c:showCatName val="0"/>
          <c:showSerName val="0"/>
          <c:showPercent val="0"/>
          <c:showBubbleSize val="0"/>
        </c:dLbls>
        <c:gapWidth val="80"/>
        <c:axId val="2078054783"/>
        <c:axId val="459425119"/>
      </c:barChart>
      <c:catAx>
        <c:axId val="2078054783"/>
        <c:scaling>
          <c:orientation val="minMax"/>
        </c:scaling>
        <c:delete val="0"/>
        <c:axPos val="l"/>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59425119"/>
        <c:crosses val="autoZero"/>
        <c:auto val="1"/>
        <c:lblAlgn val="ctr"/>
        <c:lblOffset val="100"/>
        <c:noMultiLvlLbl val="0"/>
      </c:catAx>
      <c:valAx>
        <c:axId val="459425119"/>
        <c:scaling>
          <c:orientation val="minMax"/>
        </c:scaling>
        <c:delete val="0"/>
        <c:axPos val="b"/>
        <c:majorGridlines>
          <c:spPr>
            <a:ln w="9525" cap="flat" cmpd="sng" algn="ctr">
              <a:solidFill>
                <a:schemeClr val="tx1">
                  <a:lumMod val="5000"/>
                  <a:lumOff val="9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07805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[Used_Phone_Price_Prediction_Dataset_1000.xlsx]Analysis!PivotTable2</c:name>
    <c:fmtId val="0"/>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Analysis!$A$18:$A$22</c:f>
              <c:strCache>
                <c:ptCount val="4"/>
                <c:pt idx="0">
                  <c:v>Excellent</c:v>
                </c:pt>
                <c:pt idx="1">
                  <c:v>Fair</c:v>
                </c:pt>
                <c:pt idx="2">
                  <c:v>Good</c:v>
                </c:pt>
                <c:pt idx="3">
                  <c:v>Like New</c:v>
                </c:pt>
              </c:strCache>
            </c:strRef>
          </c:cat>
          <c:val>
            <c:numRef>
              <c:f>Analysis!$B$18:$B$22</c:f>
              <c:numCache>
                <c:formatCode>_("$"* #,##0.00_);_("$"* \(#,##0.00\);_("$"* "-"??_);_(@_)</c:formatCode>
                <c:ptCount val="4"/>
                <c:pt idx="0">
                  <c:v>554.07022471910113</c:v>
                </c:pt>
                <c:pt idx="1">
                  <c:v>362.75238095238097</c:v>
                </c:pt>
                <c:pt idx="2">
                  <c:v>456.68678160919541</c:v>
                </c:pt>
                <c:pt idx="3">
                  <c:v>585.95811518324604</c:v>
                </c:pt>
              </c:numCache>
            </c:numRef>
          </c:val>
          <c:extLst>
            <c:ext xmlns:c16="http://schemas.microsoft.com/office/drawing/2014/chart" uri="{C3380CC4-5D6E-409C-BE32-E72D297353CC}">
              <c16:uniqueId val="{00000000-1EA4-4333-99AC-BCE8C5CDC9A4}"/>
            </c:ext>
          </c:extLst>
        </c:ser>
        <c:dLbls>
          <c:dLblPos val="inBase"/>
          <c:showLegendKey val="0"/>
          <c:showVal val="1"/>
          <c:showCatName val="0"/>
          <c:showSerName val="0"/>
          <c:showPercent val="0"/>
          <c:showBubbleSize val="0"/>
        </c:dLbls>
        <c:gapWidth val="355"/>
        <c:overlap val="-70"/>
        <c:axId val="2085317087"/>
        <c:axId val="459345663"/>
      </c:barChart>
      <c:catAx>
        <c:axId val="208531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45663"/>
        <c:crosses val="autoZero"/>
        <c:auto val="1"/>
        <c:lblAlgn val="ctr"/>
        <c:lblOffset val="100"/>
        <c:noMultiLvlLbl val="0"/>
      </c:catAx>
      <c:valAx>
        <c:axId val="459345663"/>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31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[Used_Phone_Price_Prediction_Dataset_1000.xlsx]Analysis!PivotTable3</c:name>
    <c:fmtId val="0"/>
  </c:pivotSource>
  <c:chart>
    <c:autoTitleDeleted val="1"/>
    <c:pivotFmts>
      <c:pivotFmt>
        <c:idx val="0"/>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c:f>
              <c:strCache>
                <c:ptCount val="1"/>
                <c:pt idx="0">
                  <c:v>Total</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5875" cap="rnd">
                <a:solidFill>
                  <a:schemeClr val="accent3"/>
                </a:solidFill>
              </a:ln>
              <a:effectLst/>
            </c:spPr>
            <c:trendlineType val="linear"/>
            <c:dispRSqr val="0"/>
            <c:dispEq val="0"/>
          </c:trendline>
          <c:cat>
            <c:strRef>
              <c:f>Analysis!$J$4:$J$9</c:f>
              <c:strCache>
                <c:ptCount val="5"/>
                <c:pt idx="0">
                  <c:v>56</c:v>
                </c:pt>
                <c:pt idx="1">
                  <c:v>64</c:v>
                </c:pt>
                <c:pt idx="2">
                  <c:v>128</c:v>
                </c:pt>
                <c:pt idx="3">
                  <c:v>256</c:v>
                </c:pt>
                <c:pt idx="4">
                  <c:v>512</c:v>
                </c:pt>
              </c:strCache>
            </c:strRef>
          </c:cat>
          <c:val>
            <c:numRef>
              <c:f>Analysis!$K$4:$K$9</c:f>
              <c:numCache>
                <c:formatCode>_("$"* #,##0.00_);_("$"* \(#,##0.00\);_("$"* "-"??_);_(@_)</c:formatCode>
                <c:ptCount val="5"/>
                <c:pt idx="0">
                  <c:v>428</c:v>
                </c:pt>
                <c:pt idx="1">
                  <c:v>474.94485294117646</c:v>
                </c:pt>
                <c:pt idx="2">
                  <c:v>486.22988505747128</c:v>
                </c:pt>
                <c:pt idx="3">
                  <c:v>515.08733624454146</c:v>
                </c:pt>
                <c:pt idx="4">
                  <c:v>555.7341772151899</c:v>
                </c:pt>
              </c:numCache>
            </c:numRef>
          </c:val>
          <c:extLst>
            <c:ext xmlns:c16="http://schemas.microsoft.com/office/drawing/2014/chart" uri="{C3380CC4-5D6E-409C-BE32-E72D297353CC}">
              <c16:uniqueId val="{00000000-A860-43F9-83BE-157712CC4394}"/>
            </c:ext>
          </c:extLst>
        </c:ser>
        <c:dLbls>
          <c:dLblPos val="inEnd"/>
          <c:showLegendKey val="0"/>
          <c:showVal val="1"/>
          <c:showCatName val="0"/>
          <c:showSerName val="0"/>
          <c:showPercent val="0"/>
          <c:showBubbleSize val="0"/>
        </c:dLbls>
        <c:gapWidth val="80"/>
        <c:overlap val="25"/>
        <c:axId val="2002196623"/>
        <c:axId val="459413887"/>
      </c:barChart>
      <c:catAx>
        <c:axId val="200219662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59413887"/>
        <c:crosses val="autoZero"/>
        <c:auto val="1"/>
        <c:lblAlgn val="ctr"/>
        <c:lblOffset val="100"/>
        <c:noMultiLvlLbl val="0"/>
      </c:catAx>
      <c:valAx>
        <c:axId val="45941388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00219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[Used_Phone_Price_Prediction_Dataset_1000.xlsx]Analysis!PivotTable8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Analysis!$B$32:$B$33</c:f>
              <c:strCache>
                <c:ptCount val="1"/>
                <c:pt idx="0">
                  <c:v>Individual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Analysis!$A$34:$A$44</c:f>
              <c:strCache>
                <c:ptCount val="10"/>
                <c:pt idx="0">
                  <c:v>Apple</c:v>
                </c:pt>
                <c:pt idx="1">
                  <c:v>Google</c:v>
                </c:pt>
                <c:pt idx="2">
                  <c:v>Huawei</c:v>
                </c:pt>
                <c:pt idx="3">
                  <c:v>Motorola</c:v>
                </c:pt>
                <c:pt idx="4">
                  <c:v>OnePlus</c:v>
                </c:pt>
                <c:pt idx="5">
                  <c:v>OPPO</c:v>
                </c:pt>
                <c:pt idx="6">
                  <c:v>Realme</c:v>
                </c:pt>
                <c:pt idx="7">
                  <c:v>Samsung</c:v>
                </c:pt>
                <c:pt idx="8">
                  <c:v>vivo</c:v>
                </c:pt>
                <c:pt idx="9">
                  <c:v>Xiaomi</c:v>
                </c:pt>
              </c:strCache>
            </c:strRef>
          </c:cat>
          <c:val>
            <c:numRef>
              <c:f>Analysis!$B$34:$B$44</c:f>
              <c:numCache>
                <c:formatCode>General</c:formatCode>
                <c:ptCount val="10"/>
                <c:pt idx="0">
                  <c:v>48</c:v>
                </c:pt>
                <c:pt idx="1">
                  <c:v>79</c:v>
                </c:pt>
                <c:pt idx="2">
                  <c:v>58</c:v>
                </c:pt>
                <c:pt idx="3">
                  <c:v>50</c:v>
                </c:pt>
                <c:pt idx="4">
                  <c:v>49</c:v>
                </c:pt>
                <c:pt idx="5">
                  <c:v>48</c:v>
                </c:pt>
                <c:pt idx="6">
                  <c:v>44</c:v>
                </c:pt>
                <c:pt idx="7">
                  <c:v>45</c:v>
                </c:pt>
                <c:pt idx="8">
                  <c:v>53</c:v>
                </c:pt>
                <c:pt idx="9">
                  <c:v>37</c:v>
                </c:pt>
              </c:numCache>
            </c:numRef>
          </c:val>
          <c:smooth val="0"/>
          <c:extLst>
            <c:ext xmlns:c16="http://schemas.microsoft.com/office/drawing/2014/chart" uri="{C3380CC4-5D6E-409C-BE32-E72D297353CC}">
              <c16:uniqueId val="{00000000-25EA-43DC-AD1A-52969F6D7223}"/>
            </c:ext>
          </c:extLst>
        </c:ser>
        <c:ser>
          <c:idx val="1"/>
          <c:order val="1"/>
          <c:tx>
            <c:strRef>
              <c:f>Analysis!$C$32:$C$33</c:f>
              <c:strCache>
                <c:ptCount val="1"/>
                <c:pt idx="0">
                  <c:v>Store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Analysis!$A$34:$A$44</c:f>
              <c:strCache>
                <c:ptCount val="10"/>
                <c:pt idx="0">
                  <c:v>Apple</c:v>
                </c:pt>
                <c:pt idx="1">
                  <c:v>Google</c:v>
                </c:pt>
                <c:pt idx="2">
                  <c:v>Huawei</c:v>
                </c:pt>
                <c:pt idx="3">
                  <c:v>Motorola</c:v>
                </c:pt>
                <c:pt idx="4">
                  <c:v>OnePlus</c:v>
                </c:pt>
                <c:pt idx="5">
                  <c:v>OPPO</c:v>
                </c:pt>
                <c:pt idx="6">
                  <c:v>Realme</c:v>
                </c:pt>
                <c:pt idx="7">
                  <c:v>Samsung</c:v>
                </c:pt>
                <c:pt idx="8">
                  <c:v>vivo</c:v>
                </c:pt>
                <c:pt idx="9">
                  <c:v>Xiaomi</c:v>
                </c:pt>
              </c:strCache>
            </c:strRef>
          </c:cat>
          <c:val>
            <c:numRef>
              <c:f>Analysis!$C$34:$C$44</c:f>
              <c:numCache>
                <c:formatCode>General</c:formatCode>
                <c:ptCount val="10"/>
                <c:pt idx="0">
                  <c:v>49</c:v>
                </c:pt>
                <c:pt idx="1">
                  <c:v>45</c:v>
                </c:pt>
                <c:pt idx="2">
                  <c:v>62</c:v>
                </c:pt>
                <c:pt idx="3">
                  <c:v>51</c:v>
                </c:pt>
                <c:pt idx="4">
                  <c:v>48</c:v>
                </c:pt>
                <c:pt idx="5">
                  <c:v>51</c:v>
                </c:pt>
                <c:pt idx="6">
                  <c:v>45</c:v>
                </c:pt>
                <c:pt idx="7">
                  <c:v>41</c:v>
                </c:pt>
                <c:pt idx="8">
                  <c:v>53</c:v>
                </c:pt>
                <c:pt idx="9">
                  <c:v>44</c:v>
                </c:pt>
              </c:numCache>
            </c:numRef>
          </c:val>
          <c:smooth val="0"/>
          <c:extLst>
            <c:ext xmlns:c16="http://schemas.microsoft.com/office/drawing/2014/chart" uri="{C3380CC4-5D6E-409C-BE32-E72D297353CC}">
              <c16:uniqueId val="{00000005-694F-4ECF-BEB3-ED321276E2FD}"/>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88250255"/>
        <c:axId val="459362719"/>
      </c:lineChart>
      <c:catAx>
        <c:axId val="208825025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9362719"/>
        <c:crosses val="autoZero"/>
        <c:auto val="1"/>
        <c:lblAlgn val="ctr"/>
        <c:lblOffset val="100"/>
        <c:noMultiLvlLbl val="0"/>
      </c:catAx>
      <c:valAx>
        <c:axId val="459362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88250255"/>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[Used_Phone_Price_Prediction_Dataset_1000.xlsx]Analysis!PivotTable6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Analysis!$B$50:$B$51</c:f>
              <c:strCache>
                <c:ptCount val="1"/>
                <c:pt idx="0">
                  <c:v>56</c:v>
                </c:pt>
              </c:strCache>
            </c:strRef>
          </c:tx>
          <c:spPr>
            <a:solidFill>
              <a:schemeClr val="accent1"/>
            </a:solidFill>
            <a:ln>
              <a:noFill/>
            </a:ln>
            <a:effectLst/>
          </c:spPr>
          <c:invertIfNegative val="0"/>
          <c:cat>
            <c:strRef>
              <c:f>Analysis!$A$52:$A$60</c:f>
              <c:strCache>
                <c:ptCount val="8"/>
                <c:pt idx="0">
                  <c:v>Bandung</c:v>
                </c:pt>
                <c:pt idx="1">
                  <c:v>Bekasi</c:v>
                </c:pt>
                <c:pt idx="2">
                  <c:v>Jakarta</c:v>
                </c:pt>
                <c:pt idx="3">
                  <c:v>Makassar</c:v>
                </c:pt>
                <c:pt idx="4">
                  <c:v>Medan</c:v>
                </c:pt>
                <c:pt idx="5">
                  <c:v>Semarang</c:v>
                </c:pt>
                <c:pt idx="6">
                  <c:v>Surabaya</c:v>
                </c:pt>
                <c:pt idx="7">
                  <c:v>Yogyakarta</c:v>
                </c:pt>
              </c:strCache>
            </c:strRef>
          </c:cat>
          <c:val>
            <c:numRef>
              <c:f>Analysis!$B$52:$B$60</c:f>
              <c:numCache>
                <c:formatCode>General</c:formatCode>
                <c:ptCount val="8"/>
                <c:pt idx="6">
                  <c:v>1</c:v>
                </c:pt>
              </c:numCache>
            </c:numRef>
          </c:val>
          <c:extLst>
            <c:ext xmlns:c16="http://schemas.microsoft.com/office/drawing/2014/chart" uri="{C3380CC4-5D6E-409C-BE32-E72D297353CC}">
              <c16:uniqueId val="{00000000-65E9-45C6-AF19-2E5F2A609D15}"/>
            </c:ext>
          </c:extLst>
        </c:ser>
        <c:ser>
          <c:idx val="1"/>
          <c:order val="1"/>
          <c:tx>
            <c:strRef>
              <c:f>Analysis!$C$50:$C$51</c:f>
              <c:strCache>
                <c:ptCount val="1"/>
                <c:pt idx="0">
                  <c:v>64</c:v>
                </c:pt>
              </c:strCache>
            </c:strRef>
          </c:tx>
          <c:spPr>
            <a:solidFill>
              <a:schemeClr val="accent2"/>
            </a:solidFill>
            <a:ln>
              <a:noFill/>
            </a:ln>
            <a:effectLst/>
          </c:spPr>
          <c:invertIfNegative val="0"/>
          <c:cat>
            <c:strRef>
              <c:f>Analysis!$A$52:$A$60</c:f>
              <c:strCache>
                <c:ptCount val="8"/>
                <c:pt idx="0">
                  <c:v>Bandung</c:v>
                </c:pt>
                <c:pt idx="1">
                  <c:v>Bekasi</c:v>
                </c:pt>
                <c:pt idx="2">
                  <c:v>Jakarta</c:v>
                </c:pt>
                <c:pt idx="3">
                  <c:v>Makassar</c:v>
                </c:pt>
                <c:pt idx="4">
                  <c:v>Medan</c:v>
                </c:pt>
                <c:pt idx="5">
                  <c:v>Semarang</c:v>
                </c:pt>
                <c:pt idx="6">
                  <c:v>Surabaya</c:v>
                </c:pt>
                <c:pt idx="7">
                  <c:v>Yogyakarta</c:v>
                </c:pt>
              </c:strCache>
            </c:strRef>
          </c:cat>
          <c:val>
            <c:numRef>
              <c:f>Analysis!$C$52:$C$60</c:f>
              <c:numCache>
                <c:formatCode>General</c:formatCode>
                <c:ptCount val="8"/>
                <c:pt idx="0">
                  <c:v>32</c:v>
                </c:pt>
                <c:pt idx="1">
                  <c:v>32</c:v>
                </c:pt>
                <c:pt idx="2">
                  <c:v>27</c:v>
                </c:pt>
                <c:pt idx="3">
                  <c:v>24</c:v>
                </c:pt>
                <c:pt idx="4">
                  <c:v>44</c:v>
                </c:pt>
                <c:pt idx="5">
                  <c:v>46</c:v>
                </c:pt>
                <c:pt idx="6">
                  <c:v>34</c:v>
                </c:pt>
                <c:pt idx="7">
                  <c:v>33</c:v>
                </c:pt>
              </c:numCache>
            </c:numRef>
          </c:val>
          <c:extLst>
            <c:ext xmlns:c16="http://schemas.microsoft.com/office/drawing/2014/chart" uri="{C3380CC4-5D6E-409C-BE32-E72D297353CC}">
              <c16:uniqueId val="{00000001-65E9-45C6-AF19-2E5F2A609D15}"/>
            </c:ext>
          </c:extLst>
        </c:ser>
        <c:ser>
          <c:idx val="2"/>
          <c:order val="2"/>
          <c:tx>
            <c:strRef>
              <c:f>Analysis!$D$50:$D$51</c:f>
              <c:strCache>
                <c:ptCount val="1"/>
                <c:pt idx="0">
                  <c:v>128</c:v>
                </c:pt>
              </c:strCache>
            </c:strRef>
          </c:tx>
          <c:spPr>
            <a:solidFill>
              <a:schemeClr val="accent3"/>
            </a:solidFill>
            <a:ln>
              <a:noFill/>
            </a:ln>
            <a:effectLst/>
          </c:spPr>
          <c:invertIfNegative val="0"/>
          <c:cat>
            <c:strRef>
              <c:f>Analysis!$A$52:$A$60</c:f>
              <c:strCache>
                <c:ptCount val="8"/>
                <c:pt idx="0">
                  <c:v>Bandung</c:v>
                </c:pt>
                <c:pt idx="1">
                  <c:v>Bekasi</c:v>
                </c:pt>
                <c:pt idx="2">
                  <c:v>Jakarta</c:v>
                </c:pt>
                <c:pt idx="3">
                  <c:v>Makassar</c:v>
                </c:pt>
                <c:pt idx="4">
                  <c:v>Medan</c:v>
                </c:pt>
                <c:pt idx="5">
                  <c:v>Semarang</c:v>
                </c:pt>
                <c:pt idx="6">
                  <c:v>Surabaya</c:v>
                </c:pt>
                <c:pt idx="7">
                  <c:v>Yogyakarta</c:v>
                </c:pt>
              </c:strCache>
            </c:strRef>
          </c:cat>
          <c:val>
            <c:numRef>
              <c:f>Analysis!$D$52:$D$60</c:f>
              <c:numCache>
                <c:formatCode>General</c:formatCode>
                <c:ptCount val="8"/>
                <c:pt idx="0">
                  <c:v>33</c:v>
                </c:pt>
                <c:pt idx="1">
                  <c:v>36</c:v>
                </c:pt>
                <c:pt idx="2">
                  <c:v>29</c:v>
                </c:pt>
                <c:pt idx="3">
                  <c:v>32</c:v>
                </c:pt>
                <c:pt idx="4">
                  <c:v>32</c:v>
                </c:pt>
                <c:pt idx="5">
                  <c:v>34</c:v>
                </c:pt>
                <c:pt idx="6">
                  <c:v>36</c:v>
                </c:pt>
                <c:pt idx="7">
                  <c:v>29</c:v>
                </c:pt>
              </c:numCache>
            </c:numRef>
          </c:val>
          <c:extLst>
            <c:ext xmlns:c16="http://schemas.microsoft.com/office/drawing/2014/chart" uri="{C3380CC4-5D6E-409C-BE32-E72D297353CC}">
              <c16:uniqueId val="{00000002-65E9-45C6-AF19-2E5F2A609D15}"/>
            </c:ext>
          </c:extLst>
        </c:ser>
        <c:ser>
          <c:idx val="3"/>
          <c:order val="3"/>
          <c:tx>
            <c:strRef>
              <c:f>Analysis!$E$50:$E$51</c:f>
              <c:strCache>
                <c:ptCount val="1"/>
                <c:pt idx="0">
                  <c:v>256</c:v>
                </c:pt>
              </c:strCache>
            </c:strRef>
          </c:tx>
          <c:spPr>
            <a:solidFill>
              <a:schemeClr val="accent4"/>
            </a:solidFill>
            <a:ln>
              <a:noFill/>
            </a:ln>
            <a:effectLst/>
          </c:spPr>
          <c:invertIfNegative val="0"/>
          <c:cat>
            <c:strRef>
              <c:f>Analysis!$A$52:$A$60</c:f>
              <c:strCache>
                <c:ptCount val="8"/>
                <c:pt idx="0">
                  <c:v>Bandung</c:v>
                </c:pt>
                <c:pt idx="1">
                  <c:v>Bekasi</c:v>
                </c:pt>
                <c:pt idx="2">
                  <c:v>Jakarta</c:v>
                </c:pt>
                <c:pt idx="3">
                  <c:v>Makassar</c:v>
                </c:pt>
                <c:pt idx="4">
                  <c:v>Medan</c:v>
                </c:pt>
                <c:pt idx="5">
                  <c:v>Semarang</c:v>
                </c:pt>
                <c:pt idx="6">
                  <c:v>Surabaya</c:v>
                </c:pt>
                <c:pt idx="7">
                  <c:v>Yogyakarta</c:v>
                </c:pt>
              </c:strCache>
            </c:strRef>
          </c:cat>
          <c:val>
            <c:numRef>
              <c:f>Analysis!$E$52:$E$60</c:f>
              <c:numCache>
                <c:formatCode>General</c:formatCode>
                <c:ptCount val="8"/>
                <c:pt idx="0">
                  <c:v>31</c:v>
                </c:pt>
                <c:pt idx="1">
                  <c:v>31</c:v>
                </c:pt>
                <c:pt idx="2">
                  <c:v>28</c:v>
                </c:pt>
                <c:pt idx="3">
                  <c:v>21</c:v>
                </c:pt>
                <c:pt idx="4">
                  <c:v>19</c:v>
                </c:pt>
                <c:pt idx="5">
                  <c:v>27</c:v>
                </c:pt>
                <c:pt idx="6">
                  <c:v>34</c:v>
                </c:pt>
                <c:pt idx="7">
                  <c:v>38</c:v>
                </c:pt>
              </c:numCache>
            </c:numRef>
          </c:val>
          <c:extLst>
            <c:ext xmlns:c16="http://schemas.microsoft.com/office/drawing/2014/chart" uri="{C3380CC4-5D6E-409C-BE32-E72D297353CC}">
              <c16:uniqueId val="{00000003-65E9-45C6-AF19-2E5F2A609D15}"/>
            </c:ext>
          </c:extLst>
        </c:ser>
        <c:ser>
          <c:idx val="4"/>
          <c:order val="4"/>
          <c:tx>
            <c:strRef>
              <c:f>Analysis!$F$50:$F$51</c:f>
              <c:strCache>
                <c:ptCount val="1"/>
                <c:pt idx="0">
                  <c:v>512</c:v>
                </c:pt>
              </c:strCache>
            </c:strRef>
          </c:tx>
          <c:spPr>
            <a:solidFill>
              <a:schemeClr val="accent5"/>
            </a:solidFill>
            <a:ln>
              <a:noFill/>
            </a:ln>
            <a:effectLst/>
          </c:spPr>
          <c:invertIfNegative val="0"/>
          <c:cat>
            <c:strRef>
              <c:f>Analysis!$A$52:$A$60</c:f>
              <c:strCache>
                <c:ptCount val="8"/>
                <c:pt idx="0">
                  <c:v>Bandung</c:v>
                </c:pt>
                <c:pt idx="1">
                  <c:v>Bekasi</c:v>
                </c:pt>
                <c:pt idx="2">
                  <c:v>Jakarta</c:v>
                </c:pt>
                <c:pt idx="3">
                  <c:v>Makassar</c:v>
                </c:pt>
                <c:pt idx="4">
                  <c:v>Medan</c:v>
                </c:pt>
                <c:pt idx="5">
                  <c:v>Semarang</c:v>
                </c:pt>
                <c:pt idx="6">
                  <c:v>Surabaya</c:v>
                </c:pt>
                <c:pt idx="7">
                  <c:v>Yogyakarta</c:v>
                </c:pt>
              </c:strCache>
            </c:strRef>
          </c:cat>
          <c:val>
            <c:numRef>
              <c:f>Analysis!$F$52:$F$60</c:f>
              <c:numCache>
                <c:formatCode>General</c:formatCode>
                <c:ptCount val="8"/>
                <c:pt idx="0">
                  <c:v>34</c:v>
                </c:pt>
                <c:pt idx="1">
                  <c:v>25</c:v>
                </c:pt>
                <c:pt idx="2">
                  <c:v>29</c:v>
                </c:pt>
                <c:pt idx="3">
                  <c:v>30</c:v>
                </c:pt>
                <c:pt idx="4">
                  <c:v>32</c:v>
                </c:pt>
                <c:pt idx="5">
                  <c:v>27</c:v>
                </c:pt>
                <c:pt idx="6">
                  <c:v>28</c:v>
                </c:pt>
                <c:pt idx="7">
                  <c:v>32</c:v>
                </c:pt>
              </c:numCache>
            </c:numRef>
          </c:val>
          <c:extLst>
            <c:ext xmlns:c16="http://schemas.microsoft.com/office/drawing/2014/chart" uri="{C3380CC4-5D6E-409C-BE32-E72D297353CC}">
              <c16:uniqueId val="{00000004-65E9-45C6-AF19-2E5F2A609D15}"/>
            </c:ext>
          </c:extLst>
        </c:ser>
        <c:dLbls>
          <c:showLegendKey val="0"/>
          <c:showVal val="0"/>
          <c:showCatName val="0"/>
          <c:showSerName val="0"/>
          <c:showPercent val="0"/>
          <c:showBubbleSize val="0"/>
        </c:dLbls>
        <c:gapWidth val="219"/>
        <c:overlap val="-27"/>
        <c:axId val="1570312016"/>
        <c:axId val="1562774096"/>
      </c:barChart>
      <c:catAx>
        <c:axId val="157031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774096"/>
        <c:crosses val="autoZero"/>
        <c:auto val="1"/>
        <c:lblAlgn val="ctr"/>
        <c:lblOffset val="100"/>
        <c:noMultiLvlLbl val="0"/>
      </c:catAx>
      <c:valAx>
        <c:axId val="156277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31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Ram VS Selling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Raw_Data!$F$2:$F$1001</c:f>
              <c:numCache>
                <c:formatCode>General</c:formatCode>
                <c:ptCount val="1000"/>
                <c:pt idx="0">
                  <c:v>12</c:v>
                </c:pt>
                <c:pt idx="1">
                  <c:v>4</c:v>
                </c:pt>
                <c:pt idx="2">
                  <c:v>4</c:v>
                </c:pt>
                <c:pt idx="3">
                  <c:v>12</c:v>
                </c:pt>
                <c:pt idx="4">
                  <c:v>12</c:v>
                </c:pt>
                <c:pt idx="5">
                  <c:v>6</c:v>
                </c:pt>
                <c:pt idx="6">
                  <c:v>12</c:v>
                </c:pt>
                <c:pt idx="7">
                  <c:v>12</c:v>
                </c:pt>
                <c:pt idx="8">
                  <c:v>4</c:v>
                </c:pt>
                <c:pt idx="9">
                  <c:v>8</c:v>
                </c:pt>
                <c:pt idx="10">
                  <c:v>4</c:v>
                </c:pt>
                <c:pt idx="11">
                  <c:v>6</c:v>
                </c:pt>
                <c:pt idx="12">
                  <c:v>8</c:v>
                </c:pt>
                <c:pt idx="13">
                  <c:v>4</c:v>
                </c:pt>
                <c:pt idx="14">
                  <c:v>8</c:v>
                </c:pt>
                <c:pt idx="15">
                  <c:v>4</c:v>
                </c:pt>
                <c:pt idx="16">
                  <c:v>4</c:v>
                </c:pt>
                <c:pt idx="17">
                  <c:v>8</c:v>
                </c:pt>
                <c:pt idx="18">
                  <c:v>8</c:v>
                </c:pt>
                <c:pt idx="19">
                  <c:v>12</c:v>
                </c:pt>
                <c:pt idx="20">
                  <c:v>12</c:v>
                </c:pt>
                <c:pt idx="21">
                  <c:v>4</c:v>
                </c:pt>
                <c:pt idx="22">
                  <c:v>6</c:v>
                </c:pt>
                <c:pt idx="23">
                  <c:v>8</c:v>
                </c:pt>
                <c:pt idx="24">
                  <c:v>12</c:v>
                </c:pt>
                <c:pt idx="25">
                  <c:v>6</c:v>
                </c:pt>
                <c:pt idx="26">
                  <c:v>4</c:v>
                </c:pt>
                <c:pt idx="27">
                  <c:v>6</c:v>
                </c:pt>
                <c:pt idx="28">
                  <c:v>6</c:v>
                </c:pt>
                <c:pt idx="29">
                  <c:v>4</c:v>
                </c:pt>
                <c:pt idx="30">
                  <c:v>8</c:v>
                </c:pt>
                <c:pt idx="31">
                  <c:v>6</c:v>
                </c:pt>
                <c:pt idx="32">
                  <c:v>12</c:v>
                </c:pt>
                <c:pt idx="33">
                  <c:v>8</c:v>
                </c:pt>
                <c:pt idx="34">
                  <c:v>8</c:v>
                </c:pt>
                <c:pt idx="35">
                  <c:v>12</c:v>
                </c:pt>
                <c:pt idx="36">
                  <c:v>6</c:v>
                </c:pt>
                <c:pt idx="37">
                  <c:v>4</c:v>
                </c:pt>
                <c:pt idx="38">
                  <c:v>4</c:v>
                </c:pt>
                <c:pt idx="39">
                  <c:v>6</c:v>
                </c:pt>
                <c:pt idx="40">
                  <c:v>12</c:v>
                </c:pt>
                <c:pt idx="41">
                  <c:v>8</c:v>
                </c:pt>
                <c:pt idx="42">
                  <c:v>12</c:v>
                </c:pt>
                <c:pt idx="43">
                  <c:v>6</c:v>
                </c:pt>
                <c:pt idx="44">
                  <c:v>4</c:v>
                </c:pt>
                <c:pt idx="45">
                  <c:v>8</c:v>
                </c:pt>
                <c:pt idx="46">
                  <c:v>6</c:v>
                </c:pt>
                <c:pt idx="47">
                  <c:v>8</c:v>
                </c:pt>
                <c:pt idx="48">
                  <c:v>4</c:v>
                </c:pt>
                <c:pt idx="49">
                  <c:v>8</c:v>
                </c:pt>
                <c:pt idx="50">
                  <c:v>6</c:v>
                </c:pt>
                <c:pt idx="51">
                  <c:v>12</c:v>
                </c:pt>
                <c:pt idx="52">
                  <c:v>12</c:v>
                </c:pt>
                <c:pt idx="53">
                  <c:v>4</c:v>
                </c:pt>
                <c:pt idx="54">
                  <c:v>6</c:v>
                </c:pt>
                <c:pt idx="55">
                  <c:v>6</c:v>
                </c:pt>
                <c:pt idx="56">
                  <c:v>12</c:v>
                </c:pt>
                <c:pt idx="57">
                  <c:v>6</c:v>
                </c:pt>
                <c:pt idx="58">
                  <c:v>4</c:v>
                </c:pt>
                <c:pt idx="59">
                  <c:v>12</c:v>
                </c:pt>
                <c:pt idx="60">
                  <c:v>4</c:v>
                </c:pt>
                <c:pt idx="61">
                  <c:v>4</c:v>
                </c:pt>
                <c:pt idx="62">
                  <c:v>12</c:v>
                </c:pt>
                <c:pt idx="63">
                  <c:v>8</c:v>
                </c:pt>
                <c:pt idx="64">
                  <c:v>4</c:v>
                </c:pt>
                <c:pt idx="65">
                  <c:v>6</c:v>
                </c:pt>
                <c:pt idx="66">
                  <c:v>8</c:v>
                </c:pt>
                <c:pt idx="67">
                  <c:v>6</c:v>
                </c:pt>
                <c:pt idx="68">
                  <c:v>6</c:v>
                </c:pt>
                <c:pt idx="69">
                  <c:v>4</c:v>
                </c:pt>
                <c:pt idx="70">
                  <c:v>4</c:v>
                </c:pt>
                <c:pt idx="71">
                  <c:v>8</c:v>
                </c:pt>
                <c:pt idx="72">
                  <c:v>12</c:v>
                </c:pt>
                <c:pt idx="73">
                  <c:v>12</c:v>
                </c:pt>
                <c:pt idx="74">
                  <c:v>8</c:v>
                </c:pt>
                <c:pt idx="75">
                  <c:v>12</c:v>
                </c:pt>
                <c:pt idx="76">
                  <c:v>8</c:v>
                </c:pt>
                <c:pt idx="77">
                  <c:v>12</c:v>
                </c:pt>
                <c:pt idx="78">
                  <c:v>8</c:v>
                </c:pt>
                <c:pt idx="79">
                  <c:v>12</c:v>
                </c:pt>
                <c:pt idx="80">
                  <c:v>12</c:v>
                </c:pt>
                <c:pt idx="81">
                  <c:v>12</c:v>
                </c:pt>
                <c:pt idx="82">
                  <c:v>4</c:v>
                </c:pt>
                <c:pt idx="83">
                  <c:v>6</c:v>
                </c:pt>
                <c:pt idx="84">
                  <c:v>8</c:v>
                </c:pt>
                <c:pt idx="85">
                  <c:v>6</c:v>
                </c:pt>
                <c:pt idx="86">
                  <c:v>4</c:v>
                </c:pt>
                <c:pt idx="87">
                  <c:v>8</c:v>
                </c:pt>
                <c:pt idx="88">
                  <c:v>12</c:v>
                </c:pt>
                <c:pt idx="89">
                  <c:v>6</c:v>
                </c:pt>
                <c:pt idx="90">
                  <c:v>6</c:v>
                </c:pt>
                <c:pt idx="91">
                  <c:v>12</c:v>
                </c:pt>
                <c:pt idx="92">
                  <c:v>4</c:v>
                </c:pt>
                <c:pt idx="93">
                  <c:v>8</c:v>
                </c:pt>
                <c:pt idx="94">
                  <c:v>4</c:v>
                </c:pt>
                <c:pt idx="95">
                  <c:v>12</c:v>
                </c:pt>
                <c:pt idx="96">
                  <c:v>4</c:v>
                </c:pt>
                <c:pt idx="97">
                  <c:v>4</c:v>
                </c:pt>
                <c:pt idx="98">
                  <c:v>6</c:v>
                </c:pt>
                <c:pt idx="99">
                  <c:v>12</c:v>
                </c:pt>
                <c:pt idx="100">
                  <c:v>8</c:v>
                </c:pt>
                <c:pt idx="101">
                  <c:v>6</c:v>
                </c:pt>
                <c:pt idx="102">
                  <c:v>12</c:v>
                </c:pt>
                <c:pt idx="103">
                  <c:v>4</c:v>
                </c:pt>
                <c:pt idx="104">
                  <c:v>12</c:v>
                </c:pt>
                <c:pt idx="105">
                  <c:v>12</c:v>
                </c:pt>
                <c:pt idx="106">
                  <c:v>12</c:v>
                </c:pt>
                <c:pt idx="107">
                  <c:v>8</c:v>
                </c:pt>
                <c:pt idx="108">
                  <c:v>6</c:v>
                </c:pt>
                <c:pt idx="109">
                  <c:v>8</c:v>
                </c:pt>
                <c:pt idx="110">
                  <c:v>6</c:v>
                </c:pt>
                <c:pt idx="111">
                  <c:v>6</c:v>
                </c:pt>
                <c:pt idx="112">
                  <c:v>4</c:v>
                </c:pt>
                <c:pt idx="113">
                  <c:v>6</c:v>
                </c:pt>
                <c:pt idx="114">
                  <c:v>8</c:v>
                </c:pt>
                <c:pt idx="115">
                  <c:v>8</c:v>
                </c:pt>
                <c:pt idx="116">
                  <c:v>6</c:v>
                </c:pt>
                <c:pt idx="117">
                  <c:v>4</c:v>
                </c:pt>
                <c:pt idx="118">
                  <c:v>6</c:v>
                </c:pt>
                <c:pt idx="119">
                  <c:v>6</c:v>
                </c:pt>
                <c:pt idx="120">
                  <c:v>6</c:v>
                </c:pt>
                <c:pt idx="121">
                  <c:v>4</c:v>
                </c:pt>
                <c:pt idx="122">
                  <c:v>12</c:v>
                </c:pt>
                <c:pt idx="123">
                  <c:v>12</c:v>
                </c:pt>
                <c:pt idx="124">
                  <c:v>6</c:v>
                </c:pt>
                <c:pt idx="125">
                  <c:v>12</c:v>
                </c:pt>
                <c:pt idx="126">
                  <c:v>8</c:v>
                </c:pt>
                <c:pt idx="127">
                  <c:v>12</c:v>
                </c:pt>
                <c:pt idx="128">
                  <c:v>4</c:v>
                </c:pt>
                <c:pt idx="129">
                  <c:v>12</c:v>
                </c:pt>
                <c:pt idx="130">
                  <c:v>4</c:v>
                </c:pt>
                <c:pt idx="131">
                  <c:v>12</c:v>
                </c:pt>
                <c:pt idx="132">
                  <c:v>8</c:v>
                </c:pt>
                <c:pt idx="133">
                  <c:v>6</c:v>
                </c:pt>
                <c:pt idx="134">
                  <c:v>12</c:v>
                </c:pt>
                <c:pt idx="135">
                  <c:v>12</c:v>
                </c:pt>
                <c:pt idx="136">
                  <c:v>12</c:v>
                </c:pt>
                <c:pt idx="137">
                  <c:v>6</c:v>
                </c:pt>
                <c:pt idx="138">
                  <c:v>12</c:v>
                </c:pt>
                <c:pt idx="139">
                  <c:v>6</c:v>
                </c:pt>
                <c:pt idx="140">
                  <c:v>8</c:v>
                </c:pt>
                <c:pt idx="141">
                  <c:v>8</c:v>
                </c:pt>
                <c:pt idx="142">
                  <c:v>12</c:v>
                </c:pt>
                <c:pt idx="143">
                  <c:v>6</c:v>
                </c:pt>
                <c:pt idx="144">
                  <c:v>4</c:v>
                </c:pt>
                <c:pt idx="145">
                  <c:v>4</c:v>
                </c:pt>
                <c:pt idx="146">
                  <c:v>4</c:v>
                </c:pt>
                <c:pt idx="147">
                  <c:v>8</c:v>
                </c:pt>
                <c:pt idx="148">
                  <c:v>6</c:v>
                </c:pt>
                <c:pt idx="149">
                  <c:v>12</c:v>
                </c:pt>
                <c:pt idx="150">
                  <c:v>12</c:v>
                </c:pt>
                <c:pt idx="151">
                  <c:v>6</c:v>
                </c:pt>
                <c:pt idx="152">
                  <c:v>8</c:v>
                </c:pt>
                <c:pt idx="153">
                  <c:v>4</c:v>
                </c:pt>
                <c:pt idx="154">
                  <c:v>6</c:v>
                </c:pt>
                <c:pt idx="155">
                  <c:v>8</c:v>
                </c:pt>
                <c:pt idx="156">
                  <c:v>12</c:v>
                </c:pt>
                <c:pt idx="157">
                  <c:v>8</c:v>
                </c:pt>
                <c:pt idx="158">
                  <c:v>12</c:v>
                </c:pt>
                <c:pt idx="159">
                  <c:v>8</c:v>
                </c:pt>
                <c:pt idx="160">
                  <c:v>6</c:v>
                </c:pt>
                <c:pt idx="161">
                  <c:v>12</c:v>
                </c:pt>
                <c:pt idx="162">
                  <c:v>8</c:v>
                </c:pt>
                <c:pt idx="163">
                  <c:v>4</c:v>
                </c:pt>
                <c:pt idx="164">
                  <c:v>8</c:v>
                </c:pt>
                <c:pt idx="165">
                  <c:v>12</c:v>
                </c:pt>
                <c:pt idx="166">
                  <c:v>8</c:v>
                </c:pt>
                <c:pt idx="167">
                  <c:v>6</c:v>
                </c:pt>
                <c:pt idx="168">
                  <c:v>4</c:v>
                </c:pt>
                <c:pt idx="169">
                  <c:v>8</c:v>
                </c:pt>
                <c:pt idx="170">
                  <c:v>12</c:v>
                </c:pt>
                <c:pt idx="171">
                  <c:v>8</c:v>
                </c:pt>
                <c:pt idx="172">
                  <c:v>12</c:v>
                </c:pt>
                <c:pt idx="173">
                  <c:v>4</c:v>
                </c:pt>
                <c:pt idx="174">
                  <c:v>6</c:v>
                </c:pt>
                <c:pt idx="175">
                  <c:v>4</c:v>
                </c:pt>
                <c:pt idx="176">
                  <c:v>6</c:v>
                </c:pt>
                <c:pt idx="177">
                  <c:v>8</c:v>
                </c:pt>
                <c:pt idx="178">
                  <c:v>8</c:v>
                </c:pt>
                <c:pt idx="179">
                  <c:v>12</c:v>
                </c:pt>
                <c:pt idx="180">
                  <c:v>4</c:v>
                </c:pt>
                <c:pt idx="181">
                  <c:v>4</c:v>
                </c:pt>
                <c:pt idx="182">
                  <c:v>8</c:v>
                </c:pt>
                <c:pt idx="183">
                  <c:v>6</c:v>
                </c:pt>
                <c:pt idx="184">
                  <c:v>4</c:v>
                </c:pt>
                <c:pt idx="185">
                  <c:v>12</c:v>
                </c:pt>
                <c:pt idx="186">
                  <c:v>8</c:v>
                </c:pt>
                <c:pt idx="187">
                  <c:v>4</c:v>
                </c:pt>
                <c:pt idx="188">
                  <c:v>6</c:v>
                </c:pt>
                <c:pt idx="189">
                  <c:v>12</c:v>
                </c:pt>
                <c:pt idx="190">
                  <c:v>4</c:v>
                </c:pt>
                <c:pt idx="191">
                  <c:v>6</c:v>
                </c:pt>
                <c:pt idx="192">
                  <c:v>4</c:v>
                </c:pt>
                <c:pt idx="193">
                  <c:v>8</c:v>
                </c:pt>
                <c:pt idx="194">
                  <c:v>12</c:v>
                </c:pt>
                <c:pt idx="195">
                  <c:v>12</c:v>
                </c:pt>
                <c:pt idx="196">
                  <c:v>6</c:v>
                </c:pt>
                <c:pt idx="197">
                  <c:v>8</c:v>
                </c:pt>
                <c:pt idx="198">
                  <c:v>8</c:v>
                </c:pt>
                <c:pt idx="199">
                  <c:v>12</c:v>
                </c:pt>
                <c:pt idx="200">
                  <c:v>4</c:v>
                </c:pt>
                <c:pt idx="201">
                  <c:v>8</c:v>
                </c:pt>
                <c:pt idx="202">
                  <c:v>12</c:v>
                </c:pt>
                <c:pt idx="203">
                  <c:v>4</c:v>
                </c:pt>
                <c:pt idx="204">
                  <c:v>8</c:v>
                </c:pt>
                <c:pt idx="205">
                  <c:v>8</c:v>
                </c:pt>
                <c:pt idx="206">
                  <c:v>12</c:v>
                </c:pt>
                <c:pt idx="207">
                  <c:v>4</c:v>
                </c:pt>
                <c:pt idx="208">
                  <c:v>12</c:v>
                </c:pt>
                <c:pt idx="209">
                  <c:v>4</c:v>
                </c:pt>
                <c:pt idx="210">
                  <c:v>8</c:v>
                </c:pt>
                <c:pt idx="211">
                  <c:v>12</c:v>
                </c:pt>
                <c:pt idx="212">
                  <c:v>8</c:v>
                </c:pt>
                <c:pt idx="213">
                  <c:v>8</c:v>
                </c:pt>
                <c:pt idx="214">
                  <c:v>4</c:v>
                </c:pt>
                <c:pt idx="215">
                  <c:v>4</c:v>
                </c:pt>
                <c:pt idx="216">
                  <c:v>8</c:v>
                </c:pt>
                <c:pt idx="217">
                  <c:v>4</c:v>
                </c:pt>
                <c:pt idx="218">
                  <c:v>6</c:v>
                </c:pt>
                <c:pt idx="219">
                  <c:v>8</c:v>
                </c:pt>
                <c:pt idx="220">
                  <c:v>8</c:v>
                </c:pt>
                <c:pt idx="221">
                  <c:v>6</c:v>
                </c:pt>
                <c:pt idx="222">
                  <c:v>8</c:v>
                </c:pt>
                <c:pt idx="223">
                  <c:v>4</c:v>
                </c:pt>
                <c:pt idx="224">
                  <c:v>8</c:v>
                </c:pt>
                <c:pt idx="225">
                  <c:v>12</c:v>
                </c:pt>
                <c:pt idx="226">
                  <c:v>6</c:v>
                </c:pt>
                <c:pt idx="227">
                  <c:v>6</c:v>
                </c:pt>
                <c:pt idx="228">
                  <c:v>12</c:v>
                </c:pt>
                <c:pt idx="229">
                  <c:v>12</c:v>
                </c:pt>
                <c:pt idx="230">
                  <c:v>4</c:v>
                </c:pt>
                <c:pt idx="231">
                  <c:v>12</c:v>
                </c:pt>
                <c:pt idx="232">
                  <c:v>4</c:v>
                </c:pt>
                <c:pt idx="233">
                  <c:v>4</c:v>
                </c:pt>
                <c:pt idx="234">
                  <c:v>12</c:v>
                </c:pt>
                <c:pt idx="235">
                  <c:v>12</c:v>
                </c:pt>
                <c:pt idx="236">
                  <c:v>6</c:v>
                </c:pt>
                <c:pt idx="237">
                  <c:v>8</c:v>
                </c:pt>
                <c:pt idx="238">
                  <c:v>4</c:v>
                </c:pt>
                <c:pt idx="239">
                  <c:v>4</c:v>
                </c:pt>
                <c:pt idx="240">
                  <c:v>8</c:v>
                </c:pt>
                <c:pt idx="241">
                  <c:v>8</c:v>
                </c:pt>
                <c:pt idx="242">
                  <c:v>6</c:v>
                </c:pt>
                <c:pt idx="243">
                  <c:v>12</c:v>
                </c:pt>
                <c:pt idx="244">
                  <c:v>6</c:v>
                </c:pt>
                <c:pt idx="245">
                  <c:v>12</c:v>
                </c:pt>
                <c:pt idx="246">
                  <c:v>6</c:v>
                </c:pt>
                <c:pt idx="247">
                  <c:v>12</c:v>
                </c:pt>
                <c:pt idx="248">
                  <c:v>4</c:v>
                </c:pt>
                <c:pt idx="249">
                  <c:v>8</c:v>
                </c:pt>
                <c:pt idx="250">
                  <c:v>12</c:v>
                </c:pt>
                <c:pt idx="251">
                  <c:v>4</c:v>
                </c:pt>
                <c:pt idx="252">
                  <c:v>4</c:v>
                </c:pt>
                <c:pt idx="253">
                  <c:v>12</c:v>
                </c:pt>
                <c:pt idx="254">
                  <c:v>4</c:v>
                </c:pt>
                <c:pt idx="255">
                  <c:v>6</c:v>
                </c:pt>
                <c:pt idx="256">
                  <c:v>8</c:v>
                </c:pt>
                <c:pt idx="257">
                  <c:v>4</c:v>
                </c:pt>
                <c:pt idx="258">
                  <c:v>12</c:v>
                </c:pt>
                <c:pt idx="259">
                  <c:v>8</c:v>
                </c:pt>
                <c:pt idx="260">
                  <c:v>6</c:v>
                </c:pt>
                <c:pt idx="261">
                  <c:v>12</c:v>
                </c:pt>
                <c:pt idx="262">
                  <c:v>6</c:v>
                </c:pt>
                <c:pt idx="263">
                  <c:v>12</c:v>
                </c:pt>
                <c:pt idx="264">
                  <c:v>8</c:v>
                </c:pt>
                <c:pt idx="265">
                  <c:v>8</c:v>
                </c:pt>
                <c:pt idx="266">
                  <c:v>4</c:v>
                </c:pt>
                <c:pt idx="267">
                  <c:v>6</c:v>
                </c:pt>
                <c:pt idx="268">
                  <c:v>4</c:v>
                </c:pt>
                <c:pt idx="269">
                  <c:v>4</c:v>
                </c:pt>
                <c:pt idx="270">
                  <c:v>8</c:v>
                </c:pt>
                <c:pt idx="271">
                  <c:v>4</c:v>
                </c:pt>
                <c:pt idx="272">
                  <c:v>4</c:v>
                </c:pt>
                <c:pt idx="273">
                  <c:v>4</c:v>
                </c:pt>
                <c:pt idx="274">
                  <c:v>6</c:v>
                </c:pt>
                <c:pt idx="275">
                  <c:v>6</c:v>
                </c:pt>
                <c:pt idx="276">
                  <c:v>6</c:v>
                </c:pt>
                <c:pt idx="277">
                  <c:v>6</c:v>
                </c:pt>
                <c:pt idx="278">
                  <c:v>4</c:v>
                </c:pt>
                <c:pt idx="279">
                  <c:v>8</c:v>
                </c:pt>
                <c:pt idx="280">
                  <c:v>4</c:v>
                </c:pt>
                <c:pt idx="281">
                  <c:v>4</c:v>
                </c:pt>
                <c:pt idx="282">
                  <c:v>4</c:v>
                </c:pt>
                <c:pt idx="283">
                  <c:v>12</c:v>
                </c:pt>
                <c:pt idx="284">
                  <c:v>8</c:v>
                </c:pt>
                <c:pt idx="285">
                  <c:v>12</c:v>
                </c:pt>
                <c:pt idx="286">
                  <c:v>12</c:v>
                </c:pt>
                <c:pt idx="287">
                  <c:v>6</c:v>
                </c:pt>
                <c:pt idx="288">
                  <c:v>8</c:v>
                </c:pt>
                <c:pt idx="289">
                  <c:v>8</c:v>
                </c:pt>
                <c:pt idx="290">
                  <c:v>4</c:v>
                </c:pt>
                <c:pt idx="291">
                  <c:v>12</c:v>
                </c:pt>
                <c:pt idx="292">
                  <c:v>8</c:v>
                </c:pt>
                <c:pt idx="293">
                  <c:v>12</c:v>
                </c:pt>
                <c:pt idx="294">
                  <c:v>12</c:v>
                </c:pt>
                <c:pt idx="295">
                  <c:v>4</c:v>
                </c:pt>
                <c:pt idx="296">
                  <c:v>8</c:v>
                </c:pt>
                <c:pt idx="297">
                  <c:v>4</c:v>
                </c:pt>
                <c:pt idx="298">
                  <c:v>4</c:v>
                </c:pt>
                <c:pt idx="299">
                  <c:v>12</c:v>
                </c:pt>
                <c:pt idx="300">
                  <c:v>4</c:v>
                </c:pt>
                <c:pt idx="301">
                  <c:v>8</c:v>
                </c:pt>
                <c:pt idx="302">
                  <c:v>8</c:v>
                </c:pt>
                <c:pt idx="303">
                  <c:v>12</c:v>
                </c:pt>
                <c:pt idx="304">
                  <c:v>12</c:v>
                </c:pt>
                <c:pt idx="305">
                  <c:v>6</c:v>
                </c:pt>
                <c:pt idx="306">
                  <c:v>4</c:v>
                </c:pt>
                <c:pt idx="307">
                  <c:v>6</c:v>
                </c:pt>
                <c:pt idx="308">
                  <c:v>12</c:v>
                </c:pt>
                <c:pt idx="309">
                  <c:v>4</c:v>
                </c:pt>
                <c:pt idx="310">
                  <c:v>8</c:v>
                </c:pt>
                <c:pt idx="311">
                  <c:v>6</c:v>
                </c:pt>
                <c:pt idx="312">
                  <c:v>12</c:v>
                </c:pt>
                <c:pt idx="313">
                  <c:v>12</c:v>
                </c:pt>
                <c:pt idx="314">
                  <c:v>4</c:v>
                </c:pt>
                <c:pt idx="315">
                  <c:v>4</c:v>
                </c:pt>
                <c:pt idx="316">
                  <c:v>12</c:v>
                </c:pt>
                <c:pt idx="317">
                  <c:v>12</c:v>
                </c:pt>
                <c:pt idx="318">
                  <c:v>6</c:v>
                </c:pt>
                <c:pt idx="319">
                  <c:v>12</c:v>
                </c:pt>
                <c:pt idx="320">
                  <c:v>8</c:v>
                </c:pt>
                <c:pt idx="321">
                  <c:v>6</c:v>
                </c:pt>
                <c:pt idx="322">
                  <c:v>4</c:v>
                </c:pt>
                <c:pt idx="323">
                  <c:v>8</c:v>
                </c:pt>
                <c:pt idx="324">
                  <c:v>8</c:v>
                </c:pt>
                <c:pt idx="325">
                  <c:v>4</c:v>
                </c:pt>
                <c:pt idx="326">
                  <c:v>8</c:v>
                </c:pt>
                <c:pt idx="327">
                  <c:v>12</c:v>
                </c:pt>
                <c:pt idx="328">
                  <c:v>8</c:v>
                </c:pt>
                <c:pt idx="329">
                  <c:v>6</c:v>
                </c:pt>
                <c:pt idx="330">
                  <c:v>4</c:v>
                </c:pt>
                <c:pt idx="331">
                  <c:v>4</c:v>
                </c:pt>
                <c:pt idx="332">
                  <c:v>12</c:v>
                </c:pt>
                <c:pt idx="333">
                  <c:v>6</c:v>
                </c:pt>
                <c:pt idx="334">
                  <c:v>12</c:v>
                </c:pt>
                <c:pt idx="335">
                  <c:v>6</c:v>
                </c:pt>
                <c:pt idx="336">
                  <c:v>4</c:v>
                </c:pt>
                <c:pt idx="337">
                  <c:v>4</c:v>
                </c:pt>
                <c:pt idx="338">
                  <c:v>8</c:v>
                </c:pt>
                <c:pt idx="339">
                  <c:v>12</c:v>
                </c:pt>
                <c:pt idx="340">
                  <c:v>8</c:v>
                </c:pt>
                <c:pt idx="341">
                  <c:v>8</c:v>
                </c:pt>
                <c:pt idx="342">
                  <c:v>6</c:v>
                </c:pt>
                <c:pt idx="343">
                  <c:v>8</c:v>
                </c:pt>
                <c:pt idx="344">
                  <c:v>6</c:v>
                </c:pt>
                <c:pt idx="345">
                  <c:v>8</c:v>
                </c:pt>
                <c:pt idx="346">
                  <c:v>6</c:v>
                </c:pt>
                <c:pt idx="347">
                  <c:v>12</c:v>
                </c:pt>
                <c:pt idx="348">
                  <c:v>4</c:v>
                </c:pt>
                <c:pt idx="349">
                  <c:v>4</c:v>
                </c:pt>
                <c:pt idx="350">
                  <c:v>4</c:v>
                </c:pt>
                <c:pt idx="351">
                  <c:v>12</c:v>
                </c:pt>
                <c:pt idx="352">
                  <c:v>8</c:v>
                </c:pt>
                <c:pt idx="353">
                  <c:v>12</c:v>
                </c:pt>
                <c:pt idx="354">
                  <c:v>4</c:v>
                </c:pt>
                <c:pt idx="355">
                  <c:v>8</c:v>
                </c:pt>
                <c:pt idx="356">
                  <c:v>6</c:v>
                </c:pt>
                <c:pt idx="357">
                  <c:v>4</c:v>
                </c:pt>
                <c:pt idx="358">
                  <c:v>6</c:v>
                </c:pt>
                <c:pt idx="359">
                  <c:v>6</c:v>
                </c:pt>
                <c:pt idx="360">
                  <c:v>12</c:v>
                </c:pt>
                <c:pt idx="361">
                  <c:v>12</c:v>
                </c:pt>
                <c:pt idx="362">
                  <c:v>8</c:v>
                </c:pt>
                <c:pt idx="363">
                  <c:v>6</c:v>
                </c:pt>
                <c:pt idx="364">
                  <c:v>4</c:v>
                </c:pt>
                <c:pt idx="365">
                  <c:v>4</c:v>
                </c:pt>
                <c:pt idx="366">
                  <c:v>12</c:v>
                </c:pt>
                <c:pt idx="367">
                  <c:v>8</c:v>
                </c:pt>
                <c:pt idx="368">
                  <c:v>8</c:v>
                </c:pt>
                <c:pt idx="369">
                  <c:v>12</c:v>
                </c:pt>
                <c:pt idx="370">
                  <c:v>8</c:v>
                </c:pt>
                <c:pt idx="371">
                  <c:v>12</c:v>
                </c:pt>
                <c:pt idx="372">
                  <c:v>4</c:v>
                </c:pt>
                <c:pt idx="373">
                  <c:v>4</c:v>
                </c:pt>
                <c:pt idx="374">
                  <c:v>8</c:v>
                </c:pt>
                <c:pt idx="375">
                  <c:v>8</c:v>
                </c:pt>
                <c:pt idx="376">
                  <c:v>12</c:v>
                </c:pt>
                <c:pt idx="377">
                  <c:v>4</c:v>
                </c:pt>
                <c:pt idx="378">
                  <c:v>8</c:v>
                </c:pt>
                <c:pt idx="379">
                  <c:v>12</c:v>
                </c:pt>
                <c:pt idx="380">
                  <c:v>12</c:v>
                </c:pt>
                <c:pt idx="381">
                  <c:v>12</c:v>
                </c:pt>
                <c:pt idx="382">
                  <c:v>6</c:v>
                </c:pt>
                <c:pt idx="383">
                  <c:v>8</c:v>
                </c:pt>
                <c:pt idx="384">
                  <c:v>6</c:v>
                </c:pt>
                <c:pt idx="385">
                  <c:v>12</c:v>
                </c:pt>
                <c:pt idx="386">
                  <c:v>8</c:v>
                </c:pt>
                <c:pt idx="387">
                  <c:v>6</c:v>
                </c:pt>
                <c:pt idx="388">
                  <c:v>6</c:v>
                </c:pt>
                <c:pt idx="389">
                  <c:v>4</c:v>
                </c:pt>
                <c:pt idx="390">
                  <c:v>6</c:v>
                </c:pt>
                <c:pt idx="391">
                  <c:v>8</c:v>
                </c:pt>
                <c:pt idx="392">
                  <c:v>4</c:v>
                </c:pt>
                <c:pt idx="393">
                  <c:v>4</c:v>
                </c:pt>
                <c:pt idx="394">
                  <c:v>6</c:v>
                </c:pt>
                <c:pt idx="395">
                  <c:v>12</c:v>
                </c:pt>
                <c:pt idx="396">
                  <c:v>8</c:v>
                </c:pt>
                <c:pt idx="397">
                  <c:v>6</c:v>
                </c:pt>
                <c:pt idx="398">
                  <c:v>4</c:v>
                </c:pt>
                <c:pt idx="399">
                  <c:v>12</c:v>
                </c:pt>
                <c:pt idx="400">
                  <c:v>8</c:v>
                </c:pt>
                <c:pt idx="401">
                  <c:v>6</c:v>
                </c:pt>
                <c:pt idx="402">
                  <c:v>12</c:v>
                </c:pt>
                <c:pt idx="403">
                  <c:v>8</c:v>
                </c:pt>
                <c:pt idx="404">
                  <c:v>6</c:v>
                </c:pt>
                <c:pt idx="405">
                  <c:v>4</c:v>
                </c:pt>
                <c:pt idx="406">
                  <c:v>12</c:v>
                </c:pt>
                <c:pt idx="407">
                  <c:v>4</c:v>
                </c:pt>
                <c:pt idx="408">
                  <c:v>6</c:v>
                </c:pt>
                <c:pt idx="409">
                  <c:v>12</c:v>
                </c:pt>
                <c:pt idx="410">
                  <c:v>12</c:v>
                </c:pt>
                <c:pt idx="411">
                  <c:v>6</c:v>
                </c:pt>
                <c:pt idx="412">
                  <c:v>6</c:v>
                </c:pt>
                <c:pt idx="413">
                  <c:v>12</c:v>
                </c:pt>
                <c:pt idx="414">
                  <c:v>8</c:v>
                </c:pt>
                <c:pt idx="415">
                  <c:v>8</c:v>
                </c:pt>
                <c:pt idx="416">
                  <c:v>6</c:v>
                </c:pt>
                <c:pt idx="417">
                  <c:v>4</c:v>
                </c:pt>
                <c:pt idx="418">
                  <c:v>12</c:v>
                </c:pt>
                <c:pt idx="419">
                  <c:v>6</c:v>
                </c:pt>
                <c:pt idx="420">
                  <c:v>12</c:v>
                </c:pt>
                <c:pt idx="421">
                  <c:v>8</c:v>
                </c:pt>
                <c:pt idx="422">
                  <c:v>12</c:v>
                </c:pt>
                <c:pt idx="423">
                  <c:v>4</c:v>
                </c:pt>
                <c:pt idx="424">
                  <c:v>12</c:v>
                </c:pt>
                <c:pt idx="425">
                  <c:v>12</c:v>
                </c:pt>
                <c:pt idx="426">
                  <c:v>12</c:v>
                </c:pt>
                <c:pt idx="427">
                  <c:v>6</c:v>
                </c:pt>
                <c:pt idx="428">
                  <c:v>12</c:v>
                </c:pt>
                <c:pt idx="429">
                  <c:v>6</c:v>
                </c:pt>
                <c:pt idx="430">
                  <c:v>4</c:v>
                </c:pt>
                <c:pt idx="431">
                  <c:v>6</c:v>
                </c:pt>
                <c:pt idx="432">
                  <c:v>6</c:v>
                </c:pt>
                <c:pt idx="433">
                  <c:v>6</c:v>
                </c:pt>
                <c:pt idx="434">
                  <c:v>8</c:v>
                </c:pt>
                <c:pt idx="435">
                  <c:v>6</c:v>
                </c:pt>
                <c:pt idx="436">
                  <c:v>12</c:v>
                </c:pt>
                <c:pt idx="437">
                  <c:v>6</c:v>
                </c:pt>
                <c:pt idx="438">
                  <c:v>6</c:v>
                </c:pt>
                <c:pt idx="439">
                  <c:v>8</c:v>
                </c:pt>
                <c:pt idx="440">
                  <c:v>6</c:v>
                </c:pt>
                <c:pt idx="441">
                  <c:v>8</c:v>
                </c:pt>
                <c:pt idx="442">
                  <c:v>8</c:v>
                </c:pt>
                <c:pt idx="443">
                  <c:v>4</c:v>
                </c:pt>
                <c:pt idx="444">
                  <c:v>12</c:v>
                </c:pt>
                <c:pt idx="445">
                  <c:v>8</c:v>
                </c:pt>
                <c:pt idx="446">
                  <c:v>6</c:v>
                </c:pt>
                <c:pt idx="447">
                  <c:v>8</c:v>
                </c:pt>
                <c:pt idx="448">
                  <c:v>12</c:v>
                </c:pt>
                <c:pt idx="449">
                  <c:v>6</c:v>
                </c:pt>
                <c:pt idx="450">
                  <c:v>8</c:v>
                </c:pt>
                <c:pt idx="451">
                  <c:v>4</c:v>
                </c:pt>
                <c:pt idx="452">
                  <c:v>12</c:v>
                </c:pt>
                <c:pt idx="453">
                  <c:v>8</c:v>
                </c:pt>
                <c:pt idx="454">
                  <c:v>6</c:v>
                </c:pt>
                <c:pt idx="455">
                  <c:v>12</c:v>
                </c:pt>
                <c:pt idx="456">
                  <c:v>8</c:v>
                </c:pt>
                <c:pt idx="457">
                  <c:v>8</c:v>
                </c:pt>
                <c:pt idx="458">
                  <c:v>4</c:v>
                </c:pt>
                <c:pt idx="459">
                  <c:v>8</c:v>
                </c:pt>
                <c:pt idx="460">
                  <c:v>4</c:v>
                </c:pt>
                <c:pt idx="461">
                  <c:v>6</c:v>
                </c:pt>
                <c:pt idx="462">
                  <c:v>12</c:v>
                </c:pt>
                <c:pt idx="463">
                  <c:v>12</c:v>
                </c:pt>
                <c:pt idx="464">
                  <c:v>6</c:v>
                </c:pt>
                <c:pt idx="465">
                  <c:v>6</c:v>
                </c:pt>
                <c:pt idx="466">
                  <c:v>4</c:v>
                </c:pt>
                <c:pt idx="467">
                  <c:v>4</c:v>
                </c:pt>
                <c:pt idx="468">
                  <c:v>12</c:v>
                </c:pt>
                <c:pt idx="469">
                  <c:v>8</c:v>
                </c:pt>
                <c:pt idx="470">
                  <c:v>6</c:v>
                </c:pt>
                <c:pt idx="471">
                  <c:v>8</c:v>
                </c:pt>
                <c:pt idx="472">
                  <c:v>4</c:v>
                </c:pt>
                <c:pt idx="473">
                  <c:v>12</c:v>
                </c:pt>
                <c:pt idx="474">
                  <c:v>8</c:v>
                </c:pt>
                <c:pt idx="475">
                  <c:v>6</c:v>
                </c:pt>
                <c:pt idx="476">
                  <c:v>6</c:v>
                </c:pt>
                <c:pt idx="477">
                  <c:v>6</c:v>
                </c:pt>
                <c:pt idx="478">
                  <c:v>6</c:v>
                </c:pt>
                <c:pt idx="479">
                  <c:v>6</c:v>
                </c:pt>
                <c:pt idx="480">
                  <c:v>4</c:v>
                </c:pt>
                <c:pt idx="481">
                  <c:v>12</c:v>
                </c:pt>
                <c:pt idx="482">
                  <c:v>12</c:v>
                </c:pt>
                <c:pt idx="483">
                  <c:v>4</c:v>
                </c:pt>
                <c:pt idx="484">
                  <c:v>12</c:v>
                </c:pt>
                <c:pt idx="485">
                  <c:v>12</c:v>
                </c:pt>
                <c:pt idx="486">
                  <c:v>6</c:v>
                </c:pt>
                <c:pt idx="487">
                  <c:v>12</c:v>
                </c:pt>
                <c:pt idx="488">
                  <c:v>6</c:v>
                </c:pt>
                <c:pt idx="489">
                  <c:v>4</c:v>
                </c:pt>
                <c:pt idx="490">
                  <c:v>12</c:v>
                </c:pt>
                <c:pt idx="491">
                  <c:v>12</c:v>
                </c:pt>
                <c:pt idx="492">
                  <c:v>8</c:v>
                </c:pt>
                <c:pt idx="493">
                  <c:v>4</c:v>
                </c:pt>
                <c:pt idx="494">
                  <c:v>4</c:v>
                </c:pt>
                <c:pt idx="495">
                  <c:v>6</c:v>
                </c:pt>
                <c:pt idx="496">
                  <c:v>4</c:v>
                </c:pt>
                <c:pt idx="497">
                  <c:v>12</c:v>
                </c:pt>
                <c:pt idx="498">
                  <c:v>6</c:v>
                </c:pt>
                <c:pt idx="499">
                  <c:v>6</c:v>
                </c:pt>
                <c:pt idx="500">
                  <c:v>4</c:v>
                </c:pt>
                <c:pt idx="501">
                  <c:v>12</c:v>
                </c:pt>
                <c:pt idx="502">
                  <c:v>12</c:v>
                </c:pt>
                <c:pt idx="503">
                  <c:v>6</c:v>
                </c:pt>
                <c:pt idx="504">
                  <c:v>6</c:v>
                </c:pt>
                <c:pt idx="505">
                  <c:v>8</c:v>
                </c:pt>
                <c:pt idx="506">
                  <c:v>6</c:v>
                </c:pt>
                <c:pt idx="507">
                  <c:v>12</c:v>
                </c:pt>
                <c:pt idx="508">
                  <c:v>6</c:v>
                </c:pt>
                <c:pt idx="509">
                  <c:v>6</c:v>
                </c:pt>
                <c:pt idx="510">
                  <c:v>6</c:v>
                </c:pt>
                <c:pt idx="511">
                  <c:v>8</c:v>
                </c:pt>
                <c:pt idx="512">
                  <c:v>4</c:v>
                </c:pt>
                <c:pt idx="513">
                  <c:v>6</c:v>
                </c:pt>
                <c:pt idx="514">
                  <c:v>12</c:v>
                </c:pt>
                <c:pt idx="515">
                  <c:v>8</c:v>
                </c:pt>
                <c:pt idx="516">
                  <c:v>8</c:v>
                </c:pt>
                <c:pt idx="517">
                  <c:v>4</c:v>
                </c:pt>
                <c:pt idx="518">
                  <c:v>4</c:v>
                </c:pt>
                <c:pt idx="519">
                  <c:v>12</c:v>
                </c:pt>
                <c:pt idx="520">
                  <c:v>12</c:v>
                </c:pt>
                <c:pt idx="521">
                  <c:v>6</c:v>
                </c:pt>
                <c:pt idx="522">
                  <c:v>6</c:v>
                </c:pt>
                <c:pt idx="523">
                  <c:v>4</c:v>
                </c:pt>
                <c:pt idx="524">
                  <c:v>6</c:v>
                </c:pt>
                <c:pt idx="525">
                  <c:v>4</c:v>
                </c:pt>
                <c:pt idx="526">
                  <c:v>6</c:v>
                </c:pt>
                <c:pt idx="527">
                  <c:v>6</c:v>
                </c:pt>
                <c:pt idx="528">
                  <c:v>4</c:v>
                </c:pt>
                <c:pt idx="529">
                  <c:v>6</c:v>
                </c:pt>
                <c:pt idx="530">
                  <c:v>8</c:v>
                </c:pt>
                <c:pt idx="531">
                  <c:v>6</c:v>
                </c:pt>
                <c:pt idx="532">
                  <c:v>4</c:v>
                </c:pt>
                <c:pt idx="533">
                  <c:v>12</c:v>
                </c:pt>
                <c:pt idx="534">
                  <c:v>12</c:v>
                </c:pt>
                <c:pt idx="535">
                  <c:v>8</c:v>
                </c:pt>
                <c:pt idx="536">
                  <c:v>6</c:v>
                </c:pt>
                <c:pt idx="537">
                  <c:v>12</c:v>
                </c:pt>
                <c:pt idx="538">
                  <c:v>8</c:v>
                </c:pt>
                <c:pt idx="539">
                  <c:v>8</c:v>
                </c:pt>
                <c:pt idx="540">
                  <c:v>12</c:v>
                </c:pt>
                <c:pt idx="541">
                  <c:v>12</c:v>
                </c:pt>
                <c:pt idx="542">
                  <c:v>8</c:v>
                </c:pt>
                <c:pt idx="543">
                  <c:v>4</c:v>
                </c:pt>
                <c:pt idx="544">
                  <c:v>12</c:v>
                </c:pt>
                <c:pt idx="545">
                  <c:v>6</c:v>
                </c:pt>
                <c:pt idx="546">
                  <c:v>4</c:v>
                </c:pt>
                <c:pt idx="547">
                  <c:v>6</c:v>
                </c:pt>
                <c:pt idx="548">
                  <c:v>12</c:v>
                </c:pt>
                <c:pt idx="549">
                  <c:v>8</c:v>
                </c:pt>
                <c:pt idx="550">
                  <c:v>6</c:v>
                </c:pt>
                <c:pt idx="551">
                  <c:v>6</c:v>
                </c:pt>
                <c:pt idx="552">
                  <c:v>4</c:v>
                </c:pt>
                <c:pt idx="553">
                  <c:v>12</c:v>
                </c:pt>
                <c:pt idx="554">
                  <c:v>4</c:v>
                </c:pt>
                <c:pt idx="555">
                  <c:v>4</c:v>
                </c:pt>
                <c:pt idx="556">
                  <c:v>12</c:v>
                </c:pt>
                <c:pt idx="557">
                  <c:v>12</c:v>
                </c:pt>
                <c:pt idx="558">
                  <c:v>12</c:v>
                </c:pt>
                <c:pt idx="559">
                  <c:v>12</c:v>
                </c:pt>
                <c:pt idx="560">
                  <c:v>4</c:v>
                </c:pt>
                <c:pt idx="561">
                  <c:v>8</c:v>
                </c:pt>
                <c:pt idx="562">
                  <c:v>4</c:v>
                </c:pt>
                <c:pt idx="563">
                  <c:v>12</c:v>
                </c:pt>
                <c:pt idx="564">
                  <c:v>12</c:v>
                </c:pt>
                <c:pt idx="565">
                  <c:v>6</c:v>
                </c:pt>
                <c:pt idx="566">
                  <c:v>4</c:v>
                </c:pt>
                <c:pt idx="567">
                  <c:v>8</c:v>
                </c:pt>
                <c:pt idx="568">
                  <c:v>12</c:v>
                </c:pt>
                <c:pt idx="569">
                  <c:v>12</c:v>
                </c:pt>
                <c:pt idx="570">
                  <c:v>6</c:v>
                </c:pt>
                <c:pt idx="571">
                  <c:v>4</c:v>
                </c:pt>
                <c:pt idx="572">
                  <c:v>6</c:v>
                </c:pt>
                <c:pt idx="573">
                  <c:v>8</c:v>
                </c:pt>
                <c:pt idx="574">
                  <c:v>12</c:v>
                </c:pt>
                <c:pt idx="575">
                  <c:v>4</c:v>
                </c:pt>
                <c:pt idx="576">
                  <c:v>6</c:v>
                </c:pt>
                <c:pt idx="577">
                  <c:v>12</c:v>
                </c:pt>
                <c:pt idx="578">
                  <c:v>6</c:v>
                </c:pt>
                <c:pt idx="579">
                  <c:v>6</c:v>
                </c:pt>
                <c:pt idx="580">
                  <c:v>4</c:v>
                </c:pt>
                <c:pt idx="581">
                  <c:v>8</c:v>
                </c:pt>
                <c:pt idx="582">
                  <c:v>6</c:v>
                </c:pt>
                <c:pt idx="583">
                  <c:v>6</c:v>
                </c:pt>
                <c:pt idx="584">
                  <c:v>4</c:v>
                </c:pt>
                <c:pt idx="585">
                  <c:v>12</c:v>
                </c:pt>
                <c:pt idx="586">
                  <c:v>12</c:v>
                </c:pt>
                <c:pt idx="587">
                  <c:v>6</c:v>
                </c:pt>
                <c:pt idx="588">
                  <c:v>12</c:v>
                </c:pt>
                <c:pt idx="589">
                  <c:v>8</c:v>
                </c:pt>
                <c:pt idx="590">
                  <c:v>4</c:v>
                </c:pt>
                <c:pt idx="591">
                  <c:v>6</c:v>
                </c:pt>
                <c:pt idx="592">
                  <c:v>12</c:v>
                </c:pt>
                <c:pt idx="593">
                  <c:v>6</c:v>
                </c:pt>
                <c:pt idx="594">
                  <c:v>12</c:v>
                </c:pt>
                <c:pt idx="595">
                  <c:v>4</c:v>
                </c:pt>
                <c:pt idx="596">
                  <c:v>4</c:v>
                </c:pt>
                <c:pt idx="597">
                  <c:v>4</c:v>
                </c:pt>
                <c:pt idx="598">
                  <c:v>12</c:v>
                </c:pt>
                <c:pt idx="599">
                  <c:v>6</c:v>
                </c:pt>
                <c:pt idx="600">
                  <c:v>6</c:v>
                </c:pt>
                <c:pt idx="601">
                  <c:v>8</c:v>
                </c:pt>
                <c:pt idx="602">
                  <c:v>4</c:v>
                </c:pt>
                <c:pt idx="603">
                  <c:v>4</c:v>
                </c:pt>
                <c:pt idx="604">
                  <c:v>6</c:v>
                </c:pt>
                <c:pt idx="605">
                  <c:v>4</c:v>
                </c:pt>
                <c:pt idx="606">
                  <c:v>6</c:v>
                </c:pt>
                <c:pt idx="607">
                  <c:v>8</c:v>
                </c:pt>
                <c:pt idx="608">
                  <c:v>6</c:v>
                </c:pt>
                <c:pt idx="609">
                  <c:v>6</c:v>
                </c:pt>
                <c:pt idx="610">
                  <c:v>6</c:v>
                </c:pt>
                <c:pt idx="611">
                  <c:v>4</c:v>
                </c:pt>
                <c:pt idx="612">
                  <c:v>6</c:v>
                </c:pt>
                <c:pt idx="613">
                  <c:v>12</c:v>
                </c:pt>
                <c:pt idx="614">
                  <c:v>4</c:v>
                </c:pt>
                <c:pt idx="615">
                  <c:v>8</c:v>
                </c:pt>
                <c:pt idx="616">
                  <c:v>6</c:v>
                </c:pt>
                <c:pt idx="617">
                  <c:v>6</c:v>
                </c:pt>
                <c:pt idx="618">
                  <c:v>4</c:v>
                </c:pt>
                <c:pt idx="619">
                  <c:v>4</c:v>
                </c:pt>
                <c:pt idx="620">
                  <c:v>6</c:v>
                </c:pt>
                <c:pt idx="621">
                  <c:v>4</c:v>
                </c:pt>
                <c:pt idx="622">
                  <c:v>4</c:v>
                </c:pt>
                <c:pt idx="623">
                  <c:v>4</c:v>
                </c:pt>
                <c:pt idx="624">
                  <c:v>4</c:v>
                </c:pt>
                <c:pt idx="625">
                  <c:v>4</c:v>
                </c:pt>
                <c:pt idx="626">
                  <c:v>4</c:v>
                </c:pt>
                <c:pt idx="627">
                  <c:v>8</c:v>
                </c:pt>
                <c:pt idx="628">
                  <c:v>8</c:v>
                </c:pt>
                <c:pt idx="629">
                  <c:v>12</c:v>
                </c:pt>
                <c:pt idx="630">
                  <c:v>8</c:v>
                </c:pt>
                <c:pt idx="631">
                  <c:v>6</c:v>
                </c:pt>
                <c:pt idx="632">
                  <c:v>4</c:v>
                </c:pt>
                <c:pt idx="633">
                  <c:v>4</c:v>
                </c:pt>
                <c:pt idx="634">
                  <c:v>4</c:v>
                </c:pt>
                <c:pt idx="635">
                  <c:v>8</c:v>
                </c:pt>
                <c:pt idx="636">
                  <c:v>6</c:v>
                </c:pt>
                <c:pt idx="637">
                  <c:v>4</c:v>
                </c:pt>
                <c:pt idx="638">
                  <c:v>4</c:v>
                </c:pt>
                <c:pt idx="639">
                  <c:v>12</c:v>
                </c:pt>
                <c:pt idx="640">
                  <c:v>12</c:v>
                </c:pt>
                <c:pt idx="641">
                  <c:v>12</c:v>
                </c:pt>
                <c:pt idx="642">
                  <c:v>8</c:v>
                </c:pt>
                <c:pt idx="643">
                  <c:v>8</c:v>
                </c:pt>
                <c:pt idx="644">
                  <c:v>8</c:v>
                </c:pt>
                <c:pt idx="645">
                  <c:v>4</c:v>
                </c:pt>
                <c:pt idx="646">
                  <c:v>12</c:v>
                </c:pt>
                <c:pt idx="647">
                  <c:v>8</c:v>
                </c:pt>
                <c:pt idx="648">
                  <c:v>8</c:v>
                </c:pt>
                <c:pt idx="649">
                  <c:v>6</c:v>
                </c:pt>
                <c:pt idx="650">
                  <c:v>6</c:v>
                </c:pt>
                <c:pt idx="651">
                  <c:v>6</c:v>
                </c:pt>
                <c:pt idx="652">
                  <c:v>6</c:v>
                </c:pt>
                <c:pt idx="653">
                  <c:v>8</c:v>
                </c:pt>
                <c:pt idx="654">
                  <c:v>12</c:v>
                </c:pt>
                <c:pt idx="655">
                  <c:v>12</c:v>
                </c:pt>
                <c:pt idx="656">
                  <c:v>4</c:v>
                </c:pt>
                <c:pt idx="657">
                  <c:v>6</c:v>
                </c:pt>
                <c:pt idx="658">
                  <c:v>4</c:v>
                </c:pt>
                <c:pt idx="659">
                  <c:v>12</c:v>
                </c:pt>
                <c:pt idx="660">
                  <c:v>6</c:v>
                </c:pt>
                <c:pt idx="661">
                  <c:v>4</c:v>
                </c:pt>
                <c:pt idx="662">
                  <c:v>8</c:v>
                </c:pt>
                <c:pt idx="663">
                  <c:v>6</c:v>
                </c:pt>
                <c:pt idx="664">
                  <c:v>4</c:v>
                </c:pt>
                <c:pt idx="665">
                  <c:v>12</c:v>
                </c:pt>
                <c:pt idx="666">
                  <c:v>12</c:v>
                </c:pt>
                <c:pt idx="667">
                  <c:v>4</c:v>
                </c:pt>
                <c:pt idx="668">
                  <c:v>8</c:v>
                </c:pt>
                <c:pt idx="669">
                  <c:v>6</c:v>
                </c:pt>
                <c:pt idx="670">
                  <c:v>12</c:v>
                </c:pt>
                <c:pt idx="671">
                  <c:v>8</c:v>
                </c:pt>
                <c:pt idx="672">
                  <c:v>12</c:v>
                </c:pt>
                <c:pt idx="673">
                  <c:v>6</c:v>
                </c:pt>
                <c:pt idx="674">
                  <c:v>4</c:v>
                </c:pt>
                <c:pt idx="675">
                  <c:v>4</c:v>
                </c:pt>
                <c:pt idx="676">
                  <c:v>8</c:v>
                </c:pt>
                <c:pt idx="677">
                  <c:v>6</c:v>
                </c:pt>
                <c:pt idx="678">
                  <c:v>8</c:v>
                </c:pt>
                <c:pt idx="679">
                  <c:v>4</c:v>
                </c:pt>
                <c:pt idx="680">
                  <c:v>8</c:v>
                </c:pt>
                <c:pt idx="681">
                  <c:v>6</c:v>
                </c:pt>
                <c:pt idx="682">
                  <c:v>12</c:v>
                </c:pt>
                <c:pt idx="683">
                  <c:v>6</c:v>
                </c:pt>
                <c:pt idx="684">
                  <c:v>6</c:v>
                </c:pt>
                <c:pt idx="685">
                  <c:v>12</c:v>
                </c:pt>
                <c:pt idx="686">
                  <c:v>6</c:v>
                </c:pt>
                <c:pt idx="687">
                  <c:v>4</c:v>
                </c:pt>
                <c:pt idx="688">
                  <c:v>8</c:v>
                </c:pt>
                <c:pt idx="689">
                  <c:v>12</c:v>
                </c:pt>
                <c:pt idx="690">
                  <c:v>12</c:v>
                </c:pt>
                <c:pt idx="691">
                  <c:v>4</c:v>
                </c:pt>
                <c:pt idx="692">
                  <c:v>8</c:v>
                </c:pt>
                <c:pt idx="693">
                  <c:v>6</c:v>
                </c:pt>
                <c:pt idx="694">
                  <c:v>6</c:v>
                </c:pt>
                <c:pt idx="695">
                  <c:v>4</c:v>
                </c:pt>
                <c:pt idx="696">
                  <c:v>8</c:v>
                </c:pt>
                <c:pt idx="697">
                  <c:v>4</c:v>
                </c:pt>
                <c:pt idx="698">
                  <c:v>6</c:v>
                </c:pt>
                <c:pt idx="699">
                  <c:v>4</c:v>
                </c:pt>
                <c:pt idx="700">
                  <c:v>6</c:v>
                </c:pt>
                <c:pt idx="701">
                  <c:v>4</c:v>
                </c:pt>
                <c:pt idx="702">
                  <c:v>4</c:v>
                </c:pt>
                <c:pt idx="703">
                  <c:v>4</c:v>
                </c:pt>
                <c:pt idx="704">
                  <c:v>8</c:v>
                </c:pt>
                <c:pt idx="705">
                  <c:v>6</c:v>
                </c:pt>
                <c:pt idx="706">
                  <c:v>4</c:v>
                </c:pt>
                <c:pt idx="707">
                  <c:v>6</c:v>
                </c:pt>
                <c:pt idx="708">
                  <c:v>4</c:v>
                </c:pt>
                <c:pt idx="709">
                  <c:v>6</c:v>
                </c:pt>
                <c:pt idx="710">
                  <c:v>12</c:v>
                </c:pt>
                <c:pt idx="711">
                  <c:v>4</c:v>
                </c:pt>
                <c:pt idx="712">
                  <c:v>6</c:v>
                </c:pt>
                <c:pt idx="713">
                  <c:v>4</c:v>
                </c:pt>
                <c:pt idx="714">
                  <c:v>6</c:v>
                </c:pt>
                <c:pt idx="715">
                  <c:v>12</c:v>
                </c:pt>
                <c:pt idx="716">
                  <c:v>6</c:v>
                </c:pt>
                <c:pt idx="717">
                  <c:v>8</c:v>
                </c:pt>
                <c:pt idx="718">
                  <c:v>6</c:v>
                </c:pt>
                <c:pt idx="719">
                  <c:v>12</c:v>
                </c:pt>
                <c:pt idx="720">
                  <c:v>4</c:v>
                </c:pt>
                <c:pt idx="721">
                  <c:v>8</c:v>
                </c:pt>
                <c:pt idx="722">
                  <c:v>8</c:v>
                </c:pt>
                <c:pt idx="723">
                  <c:v>6</c:v>
                </c:pt>
                <c:pt idx="724">
                  <c:v>4</c:v>
                </c:pt>
                <c:pt idx="725">
                  <c:v>6</c:v>
                </c:pt>
                <c:pt idx="726">
                  <c:v>8</c:v>
                </c:pt>
                <c:pt idx="727">
                  <c:v>6</c:v>
                </c:pt>
                <c:pt idx="728">
                  <c:v>6</c:v>
                </c:pt>
                <c:pt idx="729">
                  <c:v>6</c:v>
                </c:pt>
                <c:pt idx="730">
                  <c:v>8</c:v>
                </c:pt>
                <c:pt idx="731">
                  <c:v>8</c:v>
                </c:pt>
                <c:pt idx="732">
                  <c:v>6</c:v>
                </c:pt>
                <c:pt idx="733">
                  <c:v>4</c:v>
                </c:pt>
                <c:pt idx="734">
                  <c:v>4</c:v>
                </c:pt>
                <c:pt idx="735">
                  <c:v>6</c:v>
                </c:pt>
                <c:pt idx="736">
                  <c:v>4</c:v>
                </c:pt>
                <c:pt idx="737">
                  <c:v>6</c:v>
                </c:pt>
                <c:pt idx="738">
                  <c:v>8</c:v>
                </c:pt>
                <c:pt idx="739">
                  <c:v>12</c:v>
                </c:pt>
                <c:pt idx="740">
                  <c:v>4</c:v>
                </c:pt>
                <c:pt idx="741">
                  <c:v>6</c:v>
                </c:pt>
                <c:pt idx="742">
                  <c:v>6</c:v>
                </c:pt>
                <c:pt idx="743">
                  <c:v>4</c:v>
                </c:pt>
                <c:pt idx="744">
                  <c:v>4</c:v>
                </c:pt>
                <c:pt idx="745">
                  <c:v>6</c:v>
                </c:pt>
                <c:pt idx="746">
                  <c:v>6</c:v>
                </c:pt>
                <c:pt idx="747">
                  <c:v>12</c:v>
                </c:pt>
                <c:pt idx="748">
                  <c:v>6</c:v>
                </c:pt>
                <c:pt idx="749">
                  <c:v>12</c:v>
                </c:pt>
                <c:pt idx="750">
                  <c:v>8</c:v>
                </c:pt>
                <c:pt idx="751">
                  <c:v>12</c:v>
                </c:pt>
                <c:pt idx="752">
                  <c:v>8</c:v>
                </c:pt>
                <c:pt idx="753">
                  <c:v>12</c:v>
                </c:pt>
                <c:pt idx="754">
                  <c:v>6</c:v>
                </c:pt>
                <c:pt idx="755">
                  <c:v>4</c:v>
                </c:pt>
                <c:pt idx="756">
                  <c:v>8</c:v>
                </c:pt>
                <c:pt idx="757">
                  <c:v>6</c:v>
                </c:pt>
                <c:pt idx="758">
                  <c:v>6</c:v>
                </c:pt>
                <c:pt idx="759">
                  <c:v>4</c:v>
                </c:pt>
                <c:pt idx="760">
                  <c:v>4</c:v>
                </c:pt>
                <c:pt idx="761">
                  <c:v>12</c:v>
                </c:pt>
                <c:pt idx="762">
                  <c:v>6</c:v>
                </c:pt>
                <c:pt idx="763">
                  <c:v>4</c:v>
                </c:pt>
                <c:pt idx="764">
                  <c:v>6</c:v>
                </c:pt>
                <c:pt idx="765">
                  <c:v>6</c:v>
                </c:pt>
                <c:pt idx="766">
                  <c:v>4</c:v>
                </c:pt>
                <c:pt idx="767">
                  <c:v>8</c:v>
                </c:pt>
                <c:pt idx="768">
                  <c:v>12</c:v>
                </c:pt>
                <c:pt idx="769">
                  <c:v>4</c:v>
                </c:pt>
                <c:pt idx="770">
                  <c:v>12</c:v>
                </c:pt>
                <c:pt idx="771">
                  <c:v>4</c:v>
                </c:pt>
                <c:pt idx="772">
                  <c:v>6</c:v>
                </c:pt>
                <c:pt idx="773">
                  <c:v>12</c:v>
                </c:pt>
                <c:pt idx="774">
                  <c:v>4</c:v>
                </c:pt>
                <c:pt idx="775">
                  <c:v>8</c:v>
                </c:pt>
                <c:pt idx="776">
                  <c:v>8</c:v>
                </c:pt>
                <c:pt idx="777">
                  <c:v>4</c:v>
                </c:pt>
                <c:pt idx="778">
                  <c:v>6</c:v>
                </c:pt>
                <c:pt idx="779">
                  <c:v>6</c:v>
                </c:pt>
                <c:pt idx="780">
                  <c:v>8</c:v>
                </c:pt>
                <c:pt idx="781">
                  <c:v>6</c:v>
                </c:pt>
                <c:pt idx="782">
                  <c:v>4</c:v>
                </c:pt>
                <c:pt idx="783">
                  <c:v>8</c:v>
                </c:pt>
                <c:pt idx="784">
                  <c:v>8</c:v>
                </c:pt>
                <c:pt idx="785">
                  <c:v>8</c:v>
                </c:pt>
                <c:pt idx="786">
                  <c:v>4</c:v>
                </c:pt>
                <c:pt idx="787">
                  <c:v>12</c:v>
                </c:pt>
                <c:pt idx="788">
                  <c:v>4</c:v>
                </c:pt>
                <c:pt idx="789">
                  <c:v>12</c:v>
                </c:pt>
                <c:pt idx="790">
                  <c:v>6</c:v>
                </c:pt>
                <c:pt idx="791">
                  <c:v>4</c:v>
                </c:pt>
                <c:pt idx="792">
                  <c:v>4</c:v>
                </c:pt>
                <c:pt idx="793">
                  <c:v>4</c:v>
                </c:pt>
                <c:pt idx="794">
                  <c:v>12</c:v>
                </c:pt>
                <c:pt idx="795">
                  <c:v>8</c:v>
                </c:pt>
                <c:pt idx="796">
                  <c:v>12</c:v>
                </c:pt>
                <c:pt idx="797">
                  <c:v>6</c:v>
                </c:pt>
                <c:pt idx="798">
                  <c:v>12</c:v>
                </c:pt>
                <c:pt idx="799">
                  <c:v>8</c:v>
                </c:pt>
                <c:pt idx="800">
                  <c:v>12</c:v>
                </c:pt>
                <c:pt idx="801">
                  <c:v>6</c:v>
                </c:pt>
                <c:pt idx="802">
                  <c:v>12</c:v>
                </c:pt>
                <c:pt idx="803">
                  <c:v>12</c:v>
                </c:pt>
                <c:pt idx="804">
                  <c:v>8</c:v>
                </c:pt>
                <c:pt idx="805">
                  <c:v>8</c:v>
                </c:pt>
                <c:pt idx="806">
                  <c:v>6</c:v>
                </c:pt>
                <c:pt idx="807">
                  <c:v>8</c:v>
                </c:pt>
                <c:pt idx="808">
                  <c:v>8</c:v>
                </c:pt>
                <c:pt idx="809">
                  <c:v>8</c:v>
                </c:pt>
                <c:pt idx="810">
                  <c:v>8</c:v>
                </c:pt>
                <c:pt idx="811">
                  <c:v>4</c:v>
                </c:pt>
                <c:pt idx="812">
                  <c:v>4</c:v>
                </c:pt>
                <c:pt idx="813">
                  <c:v>12</c:v>
                </c:pt>
                <c:pt idx="814">
                  <c:v>4</c:v>
                </c:pt>
                <c:pt idx="815">
                  <c:v>4</c:v>
                </c:pt>
                <c:pt idx="816">
                  <c:v>8</c:v>
                </c:pt>
                <c:pt idx="817">
                  <c:v>6</c:v>
                </c:pt>
                <c:pt idx="818">
                  <c:v>12</c:v>
                </c:pt>
                <c:pt idx="819">
                  <c:v>6</c:v>
                </c:pt>
                <c:pt idx="820">
                  <c:v>12</c:v>
                </c:pt>
                <c:pt idx="821">
                  <c:v>6</c:v>
                </c:pt>
                <c:pt idx="822">
                  <c:v>12</c:v>
                </c:pt>
                <c:pt idx="823">
                  <c:v>12</c:v>
                </c:pt>
                <c:pt idx="824">
                  <c:v>12</c:v>
                </c:pt>
                <c:pt idx="825">
                  <c:v>12</c:v>
                </c:pt>
                <c:pt idx="826">
                  <c:v>6</c:v>
                </c:pt>
                <c:pt idx="827">
                  <c:v>12</c:v>
                </c:pt>
                <c:pt idx="828">
                  <c:v>6</c:v>
                </c:pt>
                <c:pt idx="829">
                  <c:v>4</c:v>
                </c:pt>
                <c:pt idx="830">
                  <c:v>8</c:v>
                </c:pt>
                <c:pt idx="831">
                  <c:v>6</c:v>
                </c:pt>
                <c:pt idx="832">
                  <c:v>6</c:v>
                </c:pt>
                <c:pt idx="833">
                  <c:v>4</c:v>
                </c:pt>
                <c:pt idx="834">
                  <c:v>8</c:v>
                </c:pt>
                <c:pt idx="835">
                  <c:v>4</c:v>
                </c:pt>
                <c:pt idx="836">
                  <c:v>6</c:v>
                </c:pt>
                <c:pt idx="837">
                  <c:v>8</c:v>
                </c:pt>
                <c:pt idx="838">
                  <c:v>12</c:v>
                </c:pt>
                <c:pt idx="839">
                  <c:v>12</c:v>
                </c:pt>
                <c:pt idx="840">
                  <c:v>12</c:v>
                </c:pt>
                <c:pt idx="841">
                  <c:v>6</c:v>
                </c:pt>
                <c:pt idx="842">
                  <c:v>8</c:v>
                </c:pt>
                <c:pt idx="843">
                  <c:v>6</c:v>
                </c:pt>
                <c:pt idx="844">
                  <c:v>4</c:v>
                </c:pt>
                <c:pt idx="845">
                  <c:v>4</c:v>
                </c:pt>
                <c:pt idx="846">
                  <c:v>8</c:v>
                </c:pt>
                <c:pt idx="847">
                  <c:v>8</c:v>
                </c:pt>
                <c:pt idx="848">
                  <c:v>4</c:v>
                </c:pt>
                <c:pt idx="849">
                  <c:v>8</c:v>
                </c:pt>
                <c:pt idx="850">
                  <c:v>4</c:v>
                </c:pt>
                <c:pt idx="851">
                  <c:v>12</c:v>
                </c:pt>
                <c:pt idx="852">
                  <c:v>8</c:v>
                </c:pt>
                <c:pt idx="853">
                  <c:v>4</c:v>
                </c:pt>
                <c:pt idx="854">
                  <c:v>12</c:v>
                </c:pt>
                <c:pt idx="855">
                  <c:v>12</c:v>
                </c:pt>
                <c:pt idx="856">
                  <c:v>6</c:v>
                </c:pt>
                <c:pt idx="857">
                  <c:v>8</c:v>
                </c:pt>
                <c:pt idx="858">
                  <c:v>4</c:v>
                </c:pt>
                <c:pt idx="859">
                  <c:v>12</c:v>
                </c:pt>
                <c:pt idx="860">
                  <c:v>4</c:v>
                </c:pt>
                <c:pt idx="861">
                  <c:v>8</c:v>
                </c:pt>
                <c:pt idx="862">
                  <c:v>12</c:v>
                </c:pt>
                <c:pt idx="863">
                  <c:v>8</c:v>
                </c:pt>
                <c:pt idx="864">
                  <c:v>4</c:v>
                </c:pt>
                <c:pt idx="865">
                  <c:v>8</c:v>
                </c:pt>
                <c:pt idx="866">
                  <c:v>8</c:v>
                </c:pt>
                <c:pt idx="867">
                  <c:v>6</c:v>
                </c:pt>
                <c:pt idx="868">
                  <c:v>6</c:v>
                </c:pt>
                <c:pt idx="869">
                  <c:v>4</c:v>
                </c:pt>
                <c:pt idx="870">
                  <c:v>12</c:v>
                </c:pt>
                <c:pt idx="871">
                  <c:v>6</c:v>
                </c:pt>
                <c:pt idx="872">
                  <c:v>8</c:v>
                </c:pt>
                <c:pt idx="873">
                  <c:v>6</c:v>
                </c:pt>
                <c:pt idx="874">
                  <c:v>8</c:v>
                </c:pt>
                <c:pt idx="875">
                  <c:v>12</c:v>
                </c:pt>
                <c:pt idx="876">
                  <c:v>8</c:v>
                </c:pt>
                <c:pt idx="877">
                  <c:v>12</c:v>
                </c:pt>
                <c:pt idx="878">
                  <c:v>4</c:v>
                </c:pt>
                <c:pt idx="879">
                  <c:v>8</c:v>
                </c:pt>
                <c:pt idx="880">
                  <c:v>4</c:v>
                </c:pt>
                <c:pt idx="881">
                  <c:v>6</c:v>
                </c:pt>
                <c:pt idx="882">
                  <c:v>6</c:v>
                </c:pt>
                <c:pt idx="883">
                  <c:v>6</c:v>
                </c:pt>
                <c:pt idx="884">
                  <c:v>6</c:v>
                </c:pt>
                <c:pt idx="885">
                  <c:v>8</c:v>
                </c:pt>
                <c:pt idx="886">
                  <c:v>6</c:v>
                </c:pt>
                <c:pt idx="887">
                  <c:v>4</c:v>
                </c:pt>
                <c:pt idx="888">
                  <c:v>4</c:v>
                </c:pt>
                <c:pt idx="889">
                  <c:v>12</c:v>
                </c:pt>
                <c:pt idx="890">
                  <c:v>12</c:v>
                </c:pt>
                <c:pt idx="891">
                  <c:v>4</c:v>
                </c:pt>
                <c:pt idx="892">
                  <c:v>12</c:v>
                </c:pt>
                <c:pt idx="893">
                  <c:v>6</c:v>
                </c:pt>
                <c:pt idx="894">
                  <c:v>6</c:v>
                </c:pt>
                <c:pt idx="895">
                  <c:v>4</c:v>
                </c:pt>
                <c:pt idx="896">
                  <c:v>8</c:v>
                </c:pt>
                <c:pt idx="897">
                  <c:v>6</c:v>
                </c:pt>
                <c:pt idx="898">
                  <c:v>12</c:v>
                </c:pt>
                <c:pt idx="899">
                  <c:v>8</c:v>
                </c:pt>
                <c:pt idx="900">
                  <c:v>4</c:v>
                </c:pt>
                <c:pt idx="901">
                  <c:v>6</c:v>
                </c:pt>
                <c:pt idx="902">
                  <c:v>4</c:v>
                </c:pt>
                <c:pt idx="903">
                  <c:v>4</c:v>
                </c:pt>
                <c:pt idx="904">
                  <c:v>4</c:v>
                </c:pt>
                <c:pt idx="905">
                  <c:v>8</c:v>
                </c:pt>
                <c:pt idx="906">
                  <c:v>8</c:v>
                </c:pt>
                <c:pt idx="907">
                  <c:v>8</c:v>
                </c:pt>
                <c:pt idx="908">
                  <c:v>4</c:v>
                </c:pt>
                <c:pt idx="909">
                  <c:v>12</c:v>
                </c:pt>
                <c:pt idx="910">
                  <c:v>8</c:v>
                </c:pt>
                <c:pt idx="911">
                  <c:v>12</c:v>
                </c:pt>
                <c:pt idx="912">
                  <c:v>12</c:v>
                </c:pt>
                <c:pt idx="913">
                  <c:v>6</c:v>
                </c:pt>
                <c:pt idx="914">
                  <c:v>4</c:v>
                </c:pt>
                <c:pt idx="915">
                  <c:v>4</c:v>
                </c:pt>
                <c:pt idx="916">
                  <c:v>12</c:v>
                </c:pt>
                <c:pt idx="917">
                  <c:v>12</c:v>
                </c:pt>
                <c:pt idx="918">
                  <c:v>6</c:v>
                </c:pt>
                <c:pt idx="919">
                  <c:v>4</c:v>
                </c:pt>
                <c:pt idx="920">
                  <c:v>12</c:v>
                </c:pt>
                <c:pt idx="921">
                  <c:v>4</c:v>
                </c:pt>
                <c:pt idx="922">
                  <c:v>8</c:v>
                </c:pt>
                <c:pt idx="923">
                  <c:v>12</c:v>
                </c:pt>
                <c:pt idx="924">
                  <c:v>4</c:v>
                </c:pt>
                <c:pt idx="925">
                  <c:v>6</c:v>
                </c:pt>
                <c:pt idx="926">
                  <c:v>8</c:v>
                </c:pt>
                <c:pt idx="927">
                  <c:v>12</c:v>
                </c:pt>
                <c:pt idx="928">
                  <c:v>4</c:v>
                </c:pt>
                <c:pt idx="929">
                  <c:v>8</c:v>
                </c:pt>
                <c:pt idx="930">
                  <c:v>12</c:v>
                </c:pt>
                <c:pt idx="931">
                  <c:v>8</c:v>
                </c:pt>
                <c:pt idx="932">
                  <c:v>4</c:v>
                </c:pt>
                <c:pt idx="933">
                  <c:v>4</c:v>
                </c:pt>
                <c:pt idx="934">
                  <c:v>12</c:v>
                </c:pt>
                <c:pt idx="935">
                  <c:v>4</c:v>
                </c:pt>
                <c:pt idx="936">
                  <c:v>12</c:v>
                </c:pt>
                <c:pt idx="937">
                  <c:v>12</c:v>
                </c:pt>
                <c:pt idx="938">
                  <c:v>6</c:v>
                </c:pt>
                <c:pt idx="939">
                  <c:v>4</c:v>
                </c:pt>
                <c:pt idx="940">
                  <c:v>6</c:v>
                </c:pt>
                <c:pt idx="941">
                  <c:v>4</c:v>
                </c:pt>
                <c:pt idx="942">
                  <c:v>8</c:v>
                </c:pt>
                <c:pt idx="943">
                  <c:v>6</c:v>
                </c:pt>
                <c:pt idx="944">
                  <c:v>8</c:v>
                </c:pt>
                <c:pt idx="945">
                  <c:v>12</c:v>
                </c:pt>
                <c:pt idx="946">
                  <c:v>4</c:v>
                </c:pt>
                <c:pt idx="947">
                  <c:v>6</c:v>
                </c:pt>
                <c:pt idx="948">
                  <c:v>6</c:v>
                </c:pt>
                <c:pt idx="949">
                  <c:v>8</c:v>
                </c:pt>
                <c:pt idx="950">
                  <c:v>8</c:v>
                </c:pt>
                <c:pt idx="951">
                  <c:v>12</c:v>
                </c:pt>
                <c:pt idx="952">
                  <c:v>4</c:v>
                </c:pt>
                <c:pt idx="953">
                  <c:v>12</c:v>
                </c:pt>
                <c:pt idx="954">
                  <c:v>8</c:v>
                </c:pt>
                <c:pt idx="955">
                  <c:v>8</c:v>
                </c:pt>
                <c:pt idx="956">
                  <c:v>6</c:v>
                </c:pt>
                <c:pt idx="957">
                  <c:v>12</c:v>
                </c:pt>
                <c:pt idx="958">
                  <c:v>6</c:v>
                </c:pt>
                <c:pt idx="959">
                  <c:v>4</c:v>
                </c:pt>
                <c:pt idx="960">
                  <c:v>6</c:v>
                </c:pt>
                <c:pt idx="961">
                  <c:v>6</c:v>
                </c:pt>
                <c:pt idx="962">
                  <c:v>8</c:v>
                </c:pt>
                <c:pt idx="963">
                  <c:v>12</c:v>
                </c:pt>
                <c:pt idx="964">
                  <c:v>4</c:v>
                </c:pt>
                <c:pt idx="965">
                  <c:v>6</c:v>
                </c:pt>
                <c:pt idx="966">
                  <c:v>6</c:v>
                </c:pt>
                <c:pt idx="967">
                  <c:v>6</c:v>
                </c:pt>
                <c:pt idx="968">
                  <c:v>4</c:v>
                </c:pt>
                <c:pt idx="969">
                  <c:v>12</c:v>
                </c:pt>
                <c:pt idx="970">
                  <c:v>4</c:v>
                </c:pt>
                <c:pt idx="971">
                  <c:v>4</c:v>
                </c:pt>
                <c:pt idx="972">
                  <c:v>4</c:v>
                </c:pt>
                <c:pt idx="973">
                  <c:v>8</c:v>
                </c:pt>
                <c:pt idx="974">
                  <c:v>12</c:v>
                </c:pt>
                <c:pt idx="975">
                  <c:v>6</c:v>
                </c:pt>
                <c:pt idx="976">
                  <c:v>4</c:v>
                </c:pt>
                <c:pt idx="977">
                  <c:v>8</c:v>
                </c:pt>
                <c:pt idx="978">
                  <c:v>4</c:v>
                </c:pt>
                <c:pt idx="979">
                  <c:v>8</c:v>
                </c:pt>
                <c:pt idx="980">
                  <c:v>12</c:v>
                </c:pt>
                <c:pt idx="981">
                  <c:v>6</c:v>
                </c:pt>
                <c:pt idx="982">
                  <c:v>8</c:v>
                </c:pt>
                <c:pt idx="983">
                  <c:v>12</c:v>
                </c:pt>
                <c:pt idx="984">
                  <c:v>6</c:v>
                </c:pt>
                <c:pt idx="985">
                  <c:v>8</c:v>
                </c:pt>
                <c:pt idx="986">
                  <c:v>4</c:v>
                </c:pt>
                <c:pt idx="987">
                  <c:v>6</c:v>
                </c:pt>
                <c:pt idx="988">
                  <c:v>6</c:v>
                </c:pt>
                <c:pt idx="989">
                  <c:v>4</c:v>
                </c:pt>
                <c:pt idx="990">
                  <c:v>6</c:v>
                </c:pt>
                <c:pt idx="991">
                  <c:v>6</c:v>
                </c:pt>
                <c:pt idx="992">
                  <c:v>12</c:v>
                </c:pt>
                <c:pt idx="993">
                  <c:v>4</c:v>
                </c:pt>
                <c:pt idx="994">
                  <c:v>4</c:v>
                </c:pt>
                <c:pt idx="995">
                  <c:v>8</c:v>
                </c:pt>
                <c:pt idx="996">
                  <c:v>12</c:v>
                </c:pt>
                <c:pt idx="997">
                  <c:v>12</c:v>
                </c:pt>
                <c:pt idx="998">
                  <c:v>8</c:v>
                </c:pt>
                <c:pt idx="999">
                  <c:v>6</c:v>
                </c:pt>
              </c:numCache>
            </c:numRef>
          </c:xVal>
          <c:yVal>
            <c:numRef>
              <c:f>Raw_Data!$R$2:$R$1001</c:f>
              <c:numCache>
                <c:formatCode>General</c:formatCode>
                <c:ptCount val="1000"/>
                <c:pt idx="0">
                  <c:v>428</c:v>
                </c:pt>
                <c:pt idx="1">
                  <c:v>589</c:v>
                </c:pt>
                <c:pt idx="2">
                  <c:v>408</c:v>
                </c:pt>
                <c:pt idx="3">
                  <c:v>449</c:v>
                </c:pt>
                <c:pt idx="4">
                  <c:v>745</c:v>
                </c:pt>
                <c:pt idx="5">
                  <c:v>428</c:v>
                </c:pt>
                <c:pt idx="6">
                  <c:v>603</c:v>
                </c:pt>
                <c:pt idx="7">
                  <c:v>604</c:v>
                </c:pt>
                <c:pt idx="8">
                  <c:v>267</c:v>
                </c:pt>
                <c:pt idx="9">
                  <c:v>557</c:v>
                </c:pt>
                <c:pt idx="10">
                  <c:v>539</c:v>
                </c:pt>
                <c:pt idx="11">
                  <c:v>466</c:v>
                </c:pt>
                <c:pt idx="12">
                  <c:v>368</c:v>
                </c:pt>
                <c:pt idx="13">
                  <c:v>567</c:v>
                </c:pt>
                <c:pt idx="14">
                  <c:v>644</c:v>
                </c:pt>
                <c:pt idx="15">
                  <c:v>470</c:v>
                </c:pt>
                <c:pt idx="16">
                  <c:v>257</c:v>
                </c:pt>
                <c:pt idx="17">
                  <c:v>539</c:v>
                </c:pt>
                <c:pt idx="18">
                  <c:v>489</c:v>
                </c:pt>
                <c:pt idx="19">
                  <c:v>439</c:v>
                </c:pt>
                <c:pt idx="20">
                  <c:v>764</c:v>
                </c:pt>
                <c:pt idx="21">
                  <c:v>415</c:v>
                </c:pt>
                <c:pt idx="22">
                  <c:v>789</c:v>
                </c:pt>
                <c:pt idx="23">
                  <c:v>639</c:v>
                </c:pt>
                <c:pt idx="24">
                  <c:v>789</c:v>
                </c:pt>
                <c:pt idx="25">
                  <c:v>289</c:v>
                </c:pt>
                <c:pt idx="26">
                  <c:v>289</c:v>
                </c:pt>
                <c:pt idx="27">
                  <c:v>487</c:v>
                </c:pt>
                <c:pt idx="28">
                  <c:v>427</c:v>
                </c:pt>
                <c:pt idx="29">
                  <c:v>560</c:v>
                </c:pt>
                <c:pt idx="30">
                  <c:v>663</c:v>
                </c:pt>
                <c:pt idx="31">
                  <c:v>749</c:v>
                </c:pt>
                <c:pt idx="32">
                  <c:v>493</c:v>
                </c:pt>
                <c:pt idx="33">
                  <c:v>338</c:v>
                </c:pt>
                <c:pt idx="34">
                  <c:v>440</c:v>
                </c:pt>
                <c:pt idx="35">
                  <c:v>824</c:v>
                </c:pt>
                <c:pt idx="36">
                  <c:v>468</c:v>
                </c:pt>
                <c:pt idx="37">
                  <c:v>352</c:v>
                </c:pt>
                <c:pt idx="38">
                  <c:v>561</c:v>
                </c:pt>
                <c:pt idx="39">
                  <c:v>466</c:v>
                </c:pt>
                <c:pt idx="40">
                  <c:v>323</c:v>
                </c:pt>
                <c:pt idx="41">
                  <c:v>822</c:v>
                </c:pt>
                <c:pt idx="42">
                  <c:v>451</c:v>
                </c:pt>
                <c:pt idx="43">
                  <c:v>382</c:v>
                </c:pt>
                <c:pt idx="44">
                  <c:v>282</c:v>
                </c:pt>
                <c:pt idx="45">
                  <c:v>629</c:v>
                </c:pt>
                <c:pt idx="46">
                  <c:v>454</c:v>
                </c:pt>
                <c:pt idx="47">
                  <c:v>389</c:v>
                </c:pt>
                <c:pt idx="48">
                  <c:v>539</c:v>
                </c:pt>
                <c:pt idx="49">
                  <c:v>433</c:v>
                </c:pt>
                <c:pt idx="50">
                  <c:v>447</c:v>
                </c:pt>
                <c:pt idx="51">
                  <c:v>433</c:v>
                </c:pt>
                <c:pt idx="52">
                  <c:v>252</c:v>
                </c:pt>
                <c:pt idx="53">
                  <c:v>576</c:v>
                </c:pt>
                <c:pt idx="54">
                  <c:v>521</c:v>
                </c:pt>
                <c:pt idx="55">
                  <c:v>492</c:v>
                </c:pt>
                <c:pt idx="56">
                  <c:v>750</c:v>
                </c:pt>
                <c:pt idx="57">
                  <c:v>289</c:v>
                </c:pt>
                <c:pt idx="58">
                  <c:v>389</c:v>
                </c:pt>
                <c:pt idx="59">
                  <c:v>497</c:v>
                </c:pt>
                <c:pt idx="60">
                  <c:v>529</c:v>
                </c:pt>
                <c:pt idx="61">
                  <c:v>909</c:v>
                </c:pt>
                <c:pt idx="62">
                  <c:v>462</c:v>
                </c:pt>
                <c:pt idx="63">
                  <c:v>305</c:v>
                </c:pt>
                <c:pt idx="64">
                  <c:v>575</c:v>
                </c:pt>
                <c:pt idx="65">
                  <c:v>262</c:v>
                </c:pt>
                <c:pt idx="66">
                  <c:v>431</c:v>
                </c:pt>
                <c:pt idx="67">
                  <c:v>560</c:v>
                </c:pt>
                <c:pt idx="68">
                  <c:v>620</c:v>
                </c:pt>
                <c:pt idx="69">
                  <c:v>533</c:v>
                </c:pt>
                <c:pt idx="70">
                  <c:v>547</c:v>
                </c:pt>
                <c:pt idx="71">
                  <c:v>476</c:v>
                </c:pt>
                <c:pt idx="72">
                  <c:v>640</c:v>
                </c:pt>
                <c:pt idx="73">
                  <c:v>559</c:v>
                </c:pt>
                <c:pt idx="74">
                  <c:v>591</c:v>
                </c:pt>
                <c:pt idx="75">
                  <c:v>452</c:v>
                </c:pt>
                <c:pt idx="76">
                  <c:v>336</c:v>
                </c:pt>
                <c:pt idx="77">
                  <c:v>490</c:v>
                </c:pt>
                <c:pt idx="78">
                  <c:v>377</c:v>
                </c:pt>
                <c:pt idx="79">
                  <c:v>885</c:v>
                </c:pt>
                <c:pt idx="80">
                  <c:v>425</c:v>
                </c:pt>
                <c:pt idx="81">
                  <c:v>789</c:v>
                </c:pt>
                <c:pt idx="82">
                  <c:v>457</c:v>
                </c:pt>
                <c:pt idx="83">
                  <c:v>513</c:v>
                </c:pt>
                <c:pt idx="84">
                  <c:v>427</c:v>
                </c:pt>
                <c:pt idx="85">
                  <c:v>495</c:v>
                </c:pt>
                <c:pt idx="86">
                  <c:v>724</c:v>
                </c:pt>
                <c:pt idx="87">
                  <c:v>451</c:v>
                </c:pt>
                <c:pt idx="88">
                  <c:v>439</c:v>
                </c:pt>
                <c:pt idx="89">
                  <c:v>316</c:v>
                </c:pt>
                <c:pt idx="90">
                  <c:v>467</c:v>
                </c:pt>
                <c:pt idx="91">
                  <c:v>582</c:v>
                </c:pt>
                <c:pt idx="92">
                  <c:v>272</c:v>
                </c:pt>
                <c:pt idx="93">
                  <c:v>513</c:v>
                </c:pt>
                <c:pt idx="94">
                  <c:v>488</c:v>
                </c:pt>
                <c:pt idx="95">
                  <c:v>689</c:v>
                </c:pt>
                <c:pt idx="96">
                  <c:v>371</c:v>
                </c:pt>
                <c:pt idx="97">
                  <c:v>366</c:v>
                </c:pt>
                <c:pt idx="98">
                  <c:v>448</c:v>
                </c:pt>
                <c:pt idx="99">
                  <c:v>451</c:v>
                </c:pt>
                <c:pt idx="100">
                  <c:v>449</c:v>
                </c:pt>
                <c:pt idx="101">
                  <c:v>589</c:v>
                </c:pt>
                <c:pt idx="102">
                  <c:v>689</c:v>
                </c:pt>
                <c:pt idx="103">
                  <c:v>485</c:v>
                </c:pt>
                <c:pt idx="104">
                  <c:v>339</c:v>
                </c:pt>
                <c:pt idx="105">
                  <c:v>457</c:v>
                </c:pt>
                <c:pt idx="106">
                  <c:v>430</c:v>
                </c:pt>
                <c:pt idx="107">
                  <c:v>490</c:v>
                </c:pt>
                <c:pt idx="108">
                  <c:v>660</c:v>
                </c:pt>
                <c:pt idx="109">
                  <c:v>388</c:v>
                </c:pt>
                <c:pt idx="110">
                  <c:v>577</c:v>
                </c:pt>
                <c:pt idx="111">
                  <c:v>345</c:v>
                </c:pt>
                <c:pt idx="112">
                  <c:v>289</c:v>
                </c:pt>
                <c:pt idx="113">
                  <c:v>557</c:v>
                </c:pt>
                <c:pt idx="114">
                  <c:v>500</c:v>
                </c:pt>
                <c:pt idx="115">
                  <c:v>437</c:v>
                </c:pt>
                <c:pt idx="116">
                  <c:v>395</c:v>
                </c:pt>
                <c:pt idx="117">
                  <c:v>484</c:v>
                </c:pt>
                <c:pt idx="118">
                  <c:v>443</c:v>
                </c:pt>
                <c:pt idx="119">
                  <c:v>732</c:v>
                </c:pt>
                <c:pt idx="120">
                  <c:v>443</c:v>
                </c:pt>
                <c:pt idx="121">
                  <c:v>460</c:v>
                </c:pt>
                <c:pt idx="122">
                  <c:v>456</c:v>
                </c:pt>
                <c:pt idx="123">
                  <c:v>689</c:v>
                </c:pt>
                <c:pt idx="124">
                  <c:v>337</c:v>
                </c:pt>
                <c:pt idx="125">
                  <c:v>371</c:v>
                </c:pt>
                <c:pt idx="126">
                  <c:v>312</c:v>
                </c:pt>
                <c:pt idx="127">
                  <c:v>424</c:v>
                </c:pt>
                <c:pt idx="128">
                  <c:v>757</c:v>
                </c:pt>
                <c:pt idx="129">
                  <c:v>463</c:v>
                </c:pt>
                <c:pt idx="130">
                  <c:v>412</c:v>
                </c:pt>
                <c:pt idx="131">
                  <c:v>486</c:v>
                </c:pt>
                <c:pt idx="132">
                  <c:v>568</c:v>
                </c:pt>
                <c:pt idx="133">
                  <c:v>338</c:v>
                </c:pt>
                <c:pt idx="134">
                  <c:v>296</c:v>
                </c:pt>
                <c:pt idx="135">
                  <c:v>568</c:v>
                </c:pt>
                <c:pt idx="136">
                  <c:v>379</c:v>
                </c:pt>
                <c:pt idx="137">
                  <c:v>464</c:v>
                </c:pt>
                <c:pt idx="138">
                  <c:v>389</c:v>
                </c:pt>
                <c:pt idx="139">
                  <c:v>606</c:v>
                </c:pt>
                <c:pt idx="140">
                  <c:v>538</c:v>
                </c:pt>
                <c:pt idx="141">
                  <c:v>408</c:v>
                </c:pt>
                <c:pt idx="142">
                  <c:v>589</c:v>
                </c:pt>
                <c:pt idx="143">
                  <c:v>489</c:v>
                </c:pt>
                <c:pt idx="144">
                  <c:v>656</c:v>
                </c:pt>
                <c:pt idx="145">
                  <c:v>362</c:v>
                </c:pt>
                <c:pt idx="146">
                  <c:v>313</c:v>
                </c:pt>
                <c:pt idx="147">
                  <c:v>352</c:v>
                </c:pt>
                <c:pt idx="148">
                  <c:v>664</c:v>
                </c:pt>
                <c:pt idx="149">
                  <c:v>515</c:v>
                </c:pt>
                <c:pt idx="150">
                  <c:v>730</c:v>
                </c:pt>
                <c:pt idx="151">
                  <c:v>389</c:v>
                </c:pt>
                <c:pt idx="152">
                  <c:v>446</c:v>
                </c:pt>
                <c:pt idx="153">
                  <c:v>310</c:v>
                </c:pt>
                <c:pt idx="154">
                  <c:v>655</c:v>
                </c:pt>
                <c:pt idx="155">
                  <c:v>693</c:v>
                </c:pt>
                <c:pt idx="156">
                  <c:v>336</c:v>
                </c:pt>
                <c:pt idx="157">
                  <c:v>389</c:v>
                </c:pt>
                <c:pt idx="158">
                  <c:v>617</c:v>
                </c:pt>
                <c:pt idx="159">
                  <c:v>492</c:v>
                </c:pt>
                <c:pt idx="160">
                  <c:v>457</c:v>
                </c:pt>
                <c:pt idx="161">
                  <c:v>506</c:v>
                </c:pt>
                <c:pt idx="162">
                  <c:v>549</c:v>
                </c:pt>
                <c:pt idx="163">
                  <c:v>759</c:v>
                </c:pt>
                <c:pt idx="164">
                  <c:v>530</c:v>
                </c:pt>
                <c:pt idx="165">
                  <c:v>342</c:v>
                </c:pt>
                <c:pt idx="166">
                  <c:v>400</c:v>
                </c:pt>
                <c:pt idx="167">
                  <c:v>251</c:v>
                </c:pt>
                <c:pt idx="168">
                  <c:v>513</c:v>
                </c:pt>
                <c:pt idx="169">
                  <c:v>330</c:v>
                </c:pt>
                <c:pt idx="170">
                  <c:v>951</c:v>
                </c:pt>
                <c:pt idx="171">
                  <c:v>506</c:v>
                </c:pt>
                <c:pt idx="172">
                  <c:v>507</c:v>
                </c:pt>
                <c:pt idx="173">
                  <c:v>728</c:v>
                </c:pt>
                <c:pt idx="174">
                  <c:v>450</c:v>
                </c:pt>
                <c:pt idx="175">
                  <c:v>542</c:v>
                </c:pt>
                <c:pt idx="176">
                  <c:v>483</c:v>
                </c:pt>
                <c:pt idx="177">
                  <c:v>561</c:v>
                </c:pt>
                <c:pt idx="178">
                  <c:v>388</c:v>
                </c:pt>
                <c:pt idx="179">
                  <c:v>453</c:v>
                </c:pt>
                <c:pt idx="180">
                  <c:v>525</c:v>
                </c:pt>
                <c:pt idx="181">
                  <c:v>903</c:v>
                </c:pt>
                <c:pt idx="182">
                  <c:v>589</c:v>
                </c:pt>
                <c:pt idx="183">
                  <c:v>567</c:v>
                </c:pt>
                <c:pt idx="184">
                  <c:v>830</c:v>
                </c:pt>
                <c:pt idx="185">
                  <c:v>364</c:v>
                </c:pt>
                <c:pt idx="186">
                  <c:v>481</c:v>
                </c:pt>
                <c:pt idx="187">
                  <c:v>475</c:v>
                </c:pt>
                <c:pt idx="188">
                  <c:v>448</c:v>
                </c:pt>
                <c:pt idx="189">
                  <c:v>565</c:v>
                </c:pt>
                <c:pt idx="190">
                  <c:v>889</c:v>
                </c:pt>
                <c:pt idx="191">
                  <c:v>260</c:v>
                </c:pt>
                <c:pt idx="192">
                  <c:v>543</c:v>
                </c:pt>
                <c:pt idx="193">
                  <c:v>635</c:v>
                </c:pt>
                <c:pt idx="194">
                  <c:v>398</c:v>
                </c:pt>
                <c:pt idx="195">
                  <c:v>589</c:v>
                </c:pt>
                <c:pt idx="196">
                  <c:v>474</c:v>
                </c:pt>
                <c:pt idx="197">
                  <c:v>589</c:v>
                </c:pt>
                <c:pt idx="198">
                  <c:v>502</c:v>
                </c:pt>
                <c:pt idx="199">
                  <c:v>346</c:v>
                </c:pt>
                <c:pt idx="200">
                  <c:v>752</c:v>
                </c:pt>
                <c:pt idx="201">
                  <c:v>349</c:v>
                </c:pt>
                <c:pt idx="202">
                  <c:v>401</c:v>
                </c:pt>
                <c:pt idx="203">
                  <c:v>628</c:v>
                </c:pt>
                <c:pt idx="204">
                  <c:v>379</c:v>
                </c:pt>
                <c:pt idx="205">
                  <c:v>346</c:v>
                </c:pt>
                <c:pt idx="206">
                  <c:v>437</c:v>
                </c:pt>
                <c:pt idx="207">
                  <c:v>323</c:v>
                </c:pt>
                <c:pt idx="208">
                  <c:v>539</c:v>
                </c:pt>
                <c:pt idx="209">
                  <c:v>489</c:v>
                </c:pt>
                <c:pt idx="210">
                  <c:v>416</c:v>
                </c:pt>
                <c:pt idx="211">
                  <c:v>482</c:v>
                </c:pt>
                <c:pt idx="212">
                  <c:v>447</c:v>
                </c:pt>
                <c:pt idx="213">
                  <c:v>522</c:v>
                </c:pt>
                <c:pt idx="214">
                  <c:v>304</c:v>
                </c:pt>
                <c:pt idx="215">
                  <c:v>539</c:v>
                </c:pt>
                <c:pt idx="216">
                  <c:v>430</c:v>
                </c:pt>
                <c:pt idx="217">
                  <c:v>573</c:v>
                </c:pt>
                <c:pt idx="218">
                  <c:v>565</c:v>
                </c:pt>
                <c:pt idx="219">
                  <c:v>475</c:v>
                </c:pt>
                <c:pt idx="220">
                  <c:v>670</c:v>
                </c:pt>
                <c:pt idx="221">
                  <c:v>289</c:v>
                </c:pt>
                <c:pt idx="222">
                  <c:v>477</c:v>
                </c:pt>
                <c:pt idx="223">
                  <c:v>775</c:v>
                </c:pt>
                <c:pt idx="224">
                  <c:v>290</c:v>
                </c:pt>
                <c:pt idx="225">
                  <c:v>304</c:v>
                </c:pt>
                <c:pt idx="226">
                  <c:v>461</c:v>
                </c:pt>
                <c:pt idx="227">
                  <c:v>589</c:v>
                </c:pt>
                <c:pt idx="228">
                  <c:v>465</c:v>
                </c:pt>
                <c:pt idx="229">
                  <c:v>727</c:v>
                </c:pt>
                <c:pt idx="230">
                  <c:v>540</c:v>
                </c:pt>
                <c:pt idx="231">
                  <c:v>413</c:v>
                </c:pt>
                <c:pt idx="232">
                  <c:v>383</c:v>
                </c:pt>
                <c:pt idx="233">
                  <c:v>289</c:v>
                </c:pt>
                <c:pt idx="234">
                  <c:v>654</c:v>
                </c:pt>
                <c:pt idx="235">
                  <c:v>583</c:v>
                </c:pt>
                <c:pt idx="236">
                  <c:v>485</c:v>
                </c:pt>
                <c:pt idx="237">
                  <c:v>429</c:v>
                </c:pt>
                <c:pt idx="238">
                  <c:v>698</c:v>
                </c:pt>
                <c:pt idx="239">
                  <c:v>401</c:v>
                </c:pt>
                <c:pt idx="240">
                  <c:v>448</c:v>
                </c:pt>
                <c:pt idx="241">
                  <c:v>489</c:v>
                </c:pt>
                <c:pt idx="242">
                  <c:v>440</c:v>
                </c:pt>
                <c:pt idx="243">
                  <c:v>504</c:v>
                </c:pt>
                <c:pt idx="244">
                  <c:v>539</c:v>
                </c:pt>
                <c:pt idx="245">
                  <c:v>589</c:v>
                </c:pt>
                <c:pt idx="246">
                  <c:v>586</c:v>
                </c:pt>
                <c:pt idx="247">
                  <c:v>489</c:v>
                </c:pt>
                <c:pt idx="248">
                  <c:v>559</c:v>
                </c:pt>
                <c:pt idx="249">
                  <c:v>526</c:v>
                </c:pt>
                <c:pt idx="250">
                  <c:v>438</c:v>
                </c:pt>
                <c:pt idx="251">
                  <c:v>486</c:v>
                </c:pt>
                <c:pt idx="252">
                  <c:v>657</c:v>
                </c:pt>
                <c:pt idx="253">
                  <c:v>589</c:v>
                </c:pt>
                <c:pt idx="254">
                  <c:v>568</c:v>
                </c:pt>
                <c:pt idx="255">
                  <c:v>520</c:v>
                </c:pt>
                <c:pt idx="256">
                  <c:v>309</c:v>
                </c:pt>
                <c:pt idx="257">
                  <c:v>439</c:v>
                </c:pt>
                <c:pt idx="258">
                  <c:v>490</c:v>
                </c:pt>
                <c:pt idx="259">
                  <c:v>536</c:v>
                </c:pt>
                <c:pt idx="260">
                  <c:v>388</c:v>
                </c:pt>
                <c:pt idx="261">
                  <c:v>512</c:v>
                </c:pt>
                <c:pt idx="262">
                  <c:v>417</c:v>
                </c:pt>
                <c:pt idx="263">
                  <c:v>581</c:v>
                </c:pt>
                <c:pt idx="264">
                  <c:v>457</c:v>
                </c:pt>
                <c:pt idx="265">
                  <c:v>589</c:v>
                </c:pt>
                <c:pt idx="266">
                  <c:v>414</c:v>
                </c:pt>
                <c:pt idx="267">
                  <c:v>497</c:v>
                </c:pt>
                <c:pt idx="268">
                  <c:v>394</c:v>
                </c:pt>
                <c:pt idx="269">
                  <c:v>654</c:v>
                </c:pt>
                <c:pt idx="270">
                  <c:v>726</c:v>
                </c:pt>
                <c:pt idx="271">
                  <c:v>316</c:v>
                </c:pt>
                <c:pt idx="272">
                  <c:v>649</c:v>
                </c:pt>
                <c:pt idx="273">
                  <c:v>397</c:v>
                </c:pt>
                <c:pt idx="274">
                  <c:v>255</c:v>
                </c:pt>
                <c:pt idx="275">
                  <c:v>696</c:v>
                </c:pt>
                <c:pt idx="276">
                  <c:v>512</c:v>
                </c:pt>
                <c:pt idx="277">
                  <c:v>238</c:v>
                </c:pt>
                <c:pt idx="278">
                  <c:v>430</c:v>
                </c:pt>
                <c:pt idx="279">
                  <c:v>361</c:v>
                </c:pt>
                <c:pt idx="280">
                  <c:v>527</c:v>
                </c:pt>
                <c:pt idx="281">
                  <c:v>302</c:v>
                </c:pt>
                <c:pt idx="282">
                  <c:v>697</c:v>
                </c:pt>
                <c:pt idx="283">
                  <c:v>443</c:v>
                </c:pt>
                <c:pt idx="284">
                  <c:v>513</c:v>
                </c:pt>
                <c:pt idx="285">
                  <c:v>687</c:v>
                </c:pt>
                <c:pt idx="286">
                  <c:v>829</c:v>
                </c:pt>
                <c:pt idx="287">
                  <c:v>547</c:v>
                </c:pt>
                <c:pt idx="288">
                  <c:v>457</c:v>
                </c:pt>
                <c:pt idx="289">
                  <c:v>467</c:v>
                </c:pt>
                <c:pt idx="290">
                  <c:v>433</c:v>
                </c:pt>
                <c:pt idx="291">
                  <c:v>589</c:v>
                </c:pt>
                <c:pt idx="292">
                  <c:v>552</c:v>
                </c:pt>
                <c:pt idx="293">
                  <c:v>514</c:v>
                </c:pt>
                <c:pt idx="294">
                  <c:v>586</c:v>
                </c:pt>
                <c:pt idx="295">
                  <c:v>405</c:v>
                </c:pt>
                <c:pt idx="296">
                  <c:v>361</c:v>
                </c:pt>
                <c:pt idx="297">
                  <c:v>485</c:v>
                </c:pt>
                <c:pt idx="298">
                  <c:v>576</c:v>
                </c:pt>
                <c:pt idx="299">
                  <c:v>257</c:v>
                </c:pt>
                <c:pt idx="300">
                  <c:v>524</c:v>
                </c:pt>
                <c:pt idx="301">
                  <c:v>589</c:v>
                </c:pt>
                <c:pt idx="302">
                  <c:v>590</c:v>
                </c:pt>
                <c:pt idx="303">
                  <c:v>453</c:v>
                </c:pt>
                <c:pt idx="304">
                  <c:v>545</c:v>
                </c:pt>
                <c:pt idx="305">
                  <c:v>398</c:v>
                </c:pt>
                <c:pt idx="306">
                  <c:v>617</c:v>
                </c:pt>
                <c:pt idx="307">
                  <c:v>663</c:v>
                </c:pt>
                <c:pt idx="308">
                  <c:v>348</c:v>
                </c:pt>
                <c:pt idx="309">
                  <c:v>297</c:v>
                </c:pt>
                <c:pt idx="310">
                  <c:v>404</c:v>
                </c:pt>
                <c:pt idx="311">
                  <c:v>409</c:v>
                </c:pt>
                <c:pt idx="312">
                  <c:v>720</c:v>
                </c:pt>
                <c:pt idx="313">
                  <c:v>868</c:v>
                </c:pt>
                <c:pt idx="314">
                  <c:v>357</c:v>
                </c:pt>
                <c:pt idx="315">
                  <c:v>460</c:v>
                </c:pt>
                <c:pt idx="316">
                  <c:v>916</c:v>
                </c:pt>
                <c:pt idx="317">
                  <c:v>665</c:v>
                </c:pt>
                <c:pt idx="318">
                  <c:v>476</c:v>
                </c:pt>
                <c:pt idx="319">
                  <c:v>439</c:v>
                </c:pt>
                <c:pt idx="320">
                  <c:v>531</c:v>
                </c:pt>
                <c:pt idx="321">
                  <c:v>267</c:v>
                </c:pt>
                <c:pt idx="322">
                  <c:v>412</c:v>
                </c:pt>
                <c:pt idx="323">
                  <c:v>263</c:v>
                </c:pt>
                <c:pt idx="324">
                  <c:v>788</c:v>
                </c:pt>
                <c:pt idx="325">
                  <c:v>568</c:v>
                </c:pt>
                <c:pt idx="326">
                  <c:v>589</c:v>
                </c:pt>
                <c:pt idx="327">
                  <c:v>389</c:v>
                </c:pt>
                <c:pt idx="328">
                  <c:v>362</c:v>
                </c:pt>
                <c:pt idx="329">
                  <c:v>327</c:v>
                </c:pt>
                <c:pt idx="330">
                  <c:v>514</c:v>
                </c:pt>
                <c:pt idx="331">
                  <c:v>455</c:v>
                </c:pt>
                <c:pt idx="332">
                  <c:v>391</c:v>
                </c:pt>
                <c:pt idx="333">
                  <c:v>292</c:v>
                </c:pt>
                <c:pt idx="334">
                  <c:v>701</c:v>
                </c:pt>
                <c:pt idx="335">
                  <c:v>751</c:v>
                </c:pt>
                <c:pt idx="336">
                  <c:v>479</c:v>
                </c:pt>
                <c:pt idx="337">
                  <c:v>537</c:v>
                </c:pt>
                <c:pt idx="338">
                  <c:v>558</c:v>
                </c:pt>
                <c:pt idx="339">
                  <c:v>385</c:v>
                </c:pt>
                <c:pt idx="340">
                  <c:v>518</c:v>
                </c:pt>
                <c:pt idx="341">
                  <c:v>412</c:v>
                </c:pt>
                <c:pt idx="342">
                  <c:v>624</c:v>
                </c:pt>
                <c:pt idx="343">
                  <c:v>789</c:v>
                </c:pt>
                <c:pt idx="344">
                  <c:v>477</c:v>
                </c:pt>
                <c:pt idx="345">
                  <c:v>789</c:v>
                </c:pt>
                <c:pt idx="346">
                  <c:v>513</c:v>
                </c:pt>
                <c:pt idx="347">
                  <c:v>348</c:v>
                </c:pt>
                <c:pt idx="348">
                  <c:v>563</c:v>
                </c:pt>
                <c:pt idx="349">
                  <c:v>501</c:v>
                </c:pt>
                <c:pt idx="350">
                  <c:v>689</c:v>
                </c:pt>
                <c:pt idx="351">
                  <c:v>589</c:v>
                </c:pt>
                <c:pt idx="352">
                  <c:v>642</c:v>
                </c:pt>
                <c:pt idx="353">
                  <c:v>456</c:v>
                </c:pt>
                <c:pt idx="354">
                  <c:v>527</c:v>
                </c:pt>
                <c:pt idx="355">
                  <c:v>660</c:v>
                </c:pt>
                <c:pt idx="356">
                  <c:v>574</c:v>
                </c:pt>
                <c:pt idx="357">
                  <c:v>546</c:v>
                </c:pt>
                <c:pt idx="358">
                  <c:v>747</c:v>
                </c:pt>
                <c:pt idx="359">
                  <c:v>449</c:v>
                </c:pt>
                <c:pt idx="360">
                  <c:v>525</c:v>
                </c:pt>
                <c:pt idx="361">
                  <c:v>565</c:v>
                </c:pt>
                <c:pt idx="362">
                  <c:v>410</c:v>
                </c:pt>
                <c:pt idx="363">
                  <c:v>491</c:v>
                </c:pt>
                <c:pt idx="364">
                  <c:v>403</c:v>
                </c:pt>
                <c:pt idx="365">
                  <c:v>645</c:v>
                </c:pt>
                <c:pt idx="366">
                  <c:v>549</c:v>
                </c:pt>
                <c:pt idx="367">
                  <c:v>262</c:v>
                </c:pt>
                <c:pt idx="368">
                  <c:v>448</c:v>
                </c:pt>
                <c:pt idx="369">
                  <c:v>383</c:v>
                </c:pt>
                <c:pt idx="370">
                  <c:v>689</c:v>
                </c:pt>
                <c:pt idx="371">
                  <c:v>619</c:v>
                </c:pt>
                <c:pt idx="372">
                  <c:v>640</c:v>
                </c:pt>
                <c:pt idx="373">
                  <c:v>481</c:v>
                </c:pt>
                <c:pt idx="374">
                  <c:v>641</c:v>
                </c:pt>
                <c:pt idx="375">
                  <c:v>589</c:v>
                </c:pt>
                <c:pt idx="376">
                  <c:v>789</c:v>
                </c:pt>
                <c:pt idx="377">
                  <c:v>550</c:v>
                </c:pt>
                <c:pt idx="378">
                  <c:v>794</c:v>
                </c:pt>
                <c:pt idx="379">
                  <c:v>589</c:v>
                </c:pt>
                <c:pt idx="380">
                  <c:v>589</c:v>
                </c:pt>
                <c:pt idx="381">
                  <c:v>483</c:v>
                </c:pt>
                <c:pt idx="382">
                  <c:v>264</c:v>
                </c:pt>
                <c:pt idx="383">
                  <c:v>469</c:v>
                </c:pt>
                <c:pt idx="384">
                  <c:v>289</c:v>
                </c:pt>
                <c:pt idx="385">
                  <c:v>491</c:v>
                </c:pt>
                <c:pt idx="386">
                  <c:v>786</c:v>
                </c:pt>
                <c:pt idx="387">
                  <c:v>274</c:v>
                </c:pt>
                <c:pt idx="388">
                  <c:v>489</c:v>
                </c:pt>
                <c:pt idx="389">
                  <c:v>489</c:v>
                </c:pt>
                <c:pt idx="390">
                  <c:v>855</c:v>
                </c:pt>
                <c:pt idx="391">
                  <c:v>449</c:v>
                </c:pt>
                <c:pt idx="392">
                  <c:v>552</c:v>
                </c:pt>
                <c:pt idx="393">
                  <c:v>452</c:v>
                </c:pt>
                <c:pt idx="394">
                  <c:v>285</c:v>
                </c:pt>
                <c:pt idx="395">
                  <c:v>536</c:v>
                </c:pt>
                <c:pt idx="396">
                  <c:v>573</c:v>
                </c:pt>
                <c:pt idx="397">
                  <c:v>829</c:v>
                </c:pt>
                <c:pt idx="398">
                  <c:v>536</c:v>
                </c:pt>
                <c:pt idx="399">
                  <c:v>637</c:v>
                </c:pt>
                <c:pt idx="400">
                  <c:v>363</c:v>
                </c:pt>
                <c:pt idx="401">
                  <c:v>623</c:v>
                </c:pt>
                <c:pt idx="402">
                  <c:v>460</c:v>
                </c:pt>
                <c:pt idx="403">
                  <c:v>677</c:v>
                </c:pt>
                <c:pt idx="404">
                  <c:v>648</c:v>
                </c:pt>
                <c:pt idx="405">
                  <c:v>547</c:v>
                </c:pt>
                <c:pt idx="406">
                  <c:v>565</c:v>
                </c:pt>
                <c:pt idx="407">
                  <c:v>480</c:v>
                </c:pt>
                <c:pt idx="408">
                  <c:v>545</c:v>
                </c:pt>
                <c:pt idx="409">
                  <c:v>494</c:v>
                </c:pt>
                <c:pt idx="410">
                  <c:v>589</c:v>
                </c:pt>
                <c:pt idx="411">
                  <c:v>637</c:v>
                </c:pt>
                <c:pt idx="412">
                  <c:v>300</c:v>
                </c:pt>
                <c:pt idx="413">
                  <c:v>441</c:v>
                </c:pt>
                <c:pt idx="414">
                  <c:v>589</c:v>
                </c:pt>
                <c:pt idx="415">
                  <c:v>489</c:v>
                </c:pt>
                <c:pt idx="416">
                  <c:v>483</c:v>
                </c:pt>
                <c:pt idx="417">
                  <c:v>489</c:v>
                </c:pt>
                <c:pt idx="418">
                  <c:v>689</c:v>
                </c:pt>
                <c:pt idx="419">
                  <c:v>386</c:v>
                </c:pt>
                <c:pt idx="420">
                  <c:v>389</c:v>
                </c:pt>
                <c:pt idx="421">
                  <c:v>497</c:v>
                </c:pt>
                <c:pt idx="422">
                  <c:v>372</c:v>
                </c:pt>
                <c:pt idx="423">
                  <c:v>329</c:v>
                </c:pt>
                <c:pt idx="424">
                  <c:v>431</c:v>
                </c:pt>
                <c:pt idx="425">
                  <c:v>589</c:v>
                </c:pt>
                <c:pt idx="426">
                  <c:v>577</c:v>
                </c:pt>
                <c:pt idx="427">
                  <c:v>597</c:v>
                </c:pt>
                <c:pt idx="428">
                  <c:v>684</c:v>
                </c:pt>
                <c:pt idx="429">
                  <c:v>589</c:v>
                </c:pt>
                <c:pt idx="430">
                  <c:v>889</c:v>
                </c:pt>
                <c:pt idx="431">
                  <c:v>529</c:v>
                </c:pt>
                <c:pt idx="432">
                  <c:v>434</c:v>
                </c:pt>
                <c:pt idx="433">
                  <c:v>640</c:v>
                </c:pt>
                <c:pt idx="434">
                  <c:v>519</c:v>
                </c:pt>
                <c:pt idx="435">
                  <c:v>537</c:v>
                </c:pt>
                <c:pt idx="436">
                  <c:v>511</c:v>
                </c:pt>
                <c:pt idx="437">
                  <c:v>668</c:v>
                </c:pt>
                <c:pt idx="438">
                  <c:v>432</c:v>
                </c:pt>
                <c:pt idx="439">
                  <c:v>429</c:v>
                </c:pt>
                <c:pt idx="440">
                  <c:v>289</c:v>
                </c:pt>
                <c:pt idx="441">
                  <c:v>489</c:v>
                </c:pt>
                <c:pt idx="442">
                  <c:v>562</c:v>
                </c:pt>
                <c:pt idx="443">
                  <c:v>309</c:v>
                </c:pt>
                <c:pt idx="444">
                  <c:v>439</c:v>
                </c:pt>
                <c:pt idx="445">
                  <c:v>426</c:v>
                </c:pt>
                <c:pt idx="446">
                  <c:v>522</c:v>
                </c:pt>
                <c:pt idx="447">
                  <c:v>576</c:v>
                </c:pt>
                <c:pt idx="448">
                  <c:v>434</c:v>
                </c:pt>
                <c:pt idx="449">
                  <c:v>536</c:v>
                </c:pt>
                <c:pt idx="450">
                  <c:v>474</c:v>
                </c:pt>
                <c:pt idx="451">
                  <c:v>401</c:v>
                </c:pt>
                <c:pt idx="452">
                  <c:v>473</c:v>
                </c:pt>
                <c:pt idx="453">
                  <c:v>561</c:v>
                </c:pt>
                <c:pt idx="454">
                  <c:v>439</c:v>
                </c:pt>
                <c:pt idx="455">
                  <c:v>600</c:v>
                </c:pt>
                <c:pt idx="456">
                  <c:v>568</c:v>
                </c:pt>
                <c:pt idx="457">
                  <c:v>669</c:v>
                </c:pt>
                <c:pt idx="458">
                  <c:v>589</c:v>
                </c:pt>
                <c:pt idx="459">
                  <c:v>569</c:v>
                </c:pt>
                <c:pt idx="460">
                  <c:v>603</c:v>
                </c:pt>
                <c:pt idx="461">
                  <c:v>618</c:v>
                </c:pt>
                <c:pt idx="462">
                  <c:v>433</c:v>
                </c:pt>
                <c:pt idx="463">
                  <c:v>311</c:v>
                </c:pt>
                <c:pt idx="464">
                  <c:v>289</c:v>
                </c:pt>
                <c:pt idx="465">
                  <c:v>950</c:v>
                </c:pt>
                <c:pt idx="466">
                  <c:v>468</c:v>
                </c:pt>
                <c:pt idx="467">
                  <c:v>668</c:v>
                </c:pt>
                <c:pt idx="468">
                  <c:v>447</c:v>
                </c:pt>
                <c:pt idx="469">
                  <c:v>823</c:v>
                </c:pt>
                <c:pt idx="470">
                  <c:v>477</c:v>
                </c:pt>
                <c:pt idx="471">
                  <c:v>494</c:v>
                </c:pt>
                <c:pt idx="472">
                  <c:v>522</c:v>
                </c:pt>
                <c:pt idx="473">
                  <c:v>438</c:v>
                </c:pt>
                <c:pt idx="474">
                  <c:v>717</c:v>
                </c:pt>
                <c:pt idx="475">
                  <c:v>291</c:v>
                </c:pt>
                <c:pt idx="476">
                  <c:v>320</c:v>
                </c:pt>
                <c:pt idx="477">
                  <c:v>561</c:v>
                </c:pt>
                <c:pt idx="478">
                  <c:v>632</c:v>
                </c:pt>
                <c:pt idx="479">
                  <c:v>521</c:v>
                </c:pt>
                <c:pt idx="480">
                  <c:v>493</c:v>
                </c:pt>
                <c:pt idx="481">
                  <c:v>380</c:v>
                </c:pt>
                <c:pt idx="482">
                  <c:v>407</c:v>
                </c:pt>
                <c:pt idx="483">
                  <c:v>495</c:v>
                </c:pt>
                <c:pt idx="484">
                  <c:v>518</c:v>
                </c:pt>
                <c:pt idx="485">
                  <c:v>589</c:v>
                </c:pt>
                <c:pt idx="486">
                  <c:v>554</c:v>
                </c:pt>
                <c:pt idx="487">
                  <c:v>517</c:v>
                </c:pt>
                <c:pt idx="488">
                  <c:v>675</c:v>
                </c:pt>
                <c:pt idx="489">
                  <c:v>474</c:v>
                </c:pt>
                <c:pt idx="490">
                  <c:v>539</c:v>
                </c:pt>
                <c:pt idx="491">
                  <c:v>661</c:v>
                </c:pt>
                <c:pt idx="492">
                  <c:v>311</c:v>
                </c:pt>
                <c:pt idx="493">
                  <c:v>289</c:v>
                </c:pt>
                <c:pt idx="494">
                  <c:v>535</c:v>
                </c:pt>
                <c:pt idx="495">
                  <c:v>581</c:v>
                </c:pt>
                <c:pt idx="496">
                  <c:v>571</c:v>
                </c:pt>
                <c:pt idx="497">
                  <c:v>489</c:v>
                </c:pt>
                <c:pt idx="498">
                  <c:v>500</c:v>
                </c:pt>
                <c:pt idx="499">
                  <c:v>397</c:v>
                </c:pt>
                <c:pt idx="500">
                  <c:v>329</c:v>
                </c:pt>
                <c:pt idx="501">
                  <c:v>468</c:v>
                </c:pt>
                <c:pt idx="502">
                  <c:v>835</c:v>
                </c:pt>
                <c:pt idx="503">
                  <c:v>289</c:v>
                </c:pt>
                <c:pt idx="504">
                  <c:v>539</c:v>
                </c:pt>
                <c:pt idx="505">
                  <c:v>389</c:v>
                </c:pt>
                <c:pt idx="506">
                  <c:v>289</c:v>
                </c:pt>
                <c:pt idx="507">
                  <c:v>589</c:v>
                </c:pt>
                <c:pt idx="508">
                  <c:v>614</c:v>
                </c:pt>
                <c:pt idx="509">
                  <c:v>590</c:v>
                </c:pt>
                <c:pt idx="510">
                  <c:v>692</c:v>
                </c:pt>
                <c:pt idx="511">
                  <c:v>349</c:v>
                </c:pt>
                <c:pt idx="512">
                  <c:v>511</c:v>
                </c:pt>
                <c:pt idx="513">
                  <c:v>579</c:v>
                </c:pt>
                <c:pt idx="514">
                  <c:v>531</c:v>
                </c:pt>
                <c:pt idx="515">
                  <c:v>482</c:v>
                </c:pt>
                <c:pt idx="516">
                  <c:v>530</c:v>
                </c:pt>
                <c:pt idx="517">
                  <c:v>487</c:v>
                </c:pt>
                <c:pt idx="518">
                  <c:v>306</c:v>
                </c:pt>
                <c:pt idx="519">
                  <c:v>493</c:v>
                </c:pt>
                <c:pt idx="520">
                  <c:v>558</c:v>
                </c:pt>
                <c:pt idx="521">
                  <c:v>394</c:v>
                </c:pt>
                <c:pt idx="522">
                  <c:v>407</c:v>
                </c:pt>
                <c:pt idx="523">
                  <c:v>425</c:v>
                </c:pt>
                <c:pt idx="524">
                  <c:v>440</c:v>
                </c:pt>
                <c:pt idx="525">
                  <c:v>889</c:v>
                </c:pt>
                <c:pt idx="526">
                  <c:v>459</c:v>
                </c:pt>
                <c:pt idx="527">
                  <c:v>509</c:v>
                </c:pt>
                <c:pt idx="528">
                  <c:v>325</c:v>
                </c:pt>
                <c:pt idx="529">
                  <c:v>708</c:v>
                </c:pt>
                <c:pt idx="530">
                  <c:v>389</c:v>
                </c:pt>
                <c:pt idx="531">
                  <c:v>310</c:v>
                </c:pt>
                <c:pt idx="532">
                  <c:v>396</c:v>
                </c:pt>
                <c:pt idx="533">
                  <c:v>406</c:v>
                </c:pt>
                <c:pt idx="534">
                  <c:v>629</c:v>
                </c:pt>
                <c:pt idx="535">
                  <c:v>312</c:v>
                </c:pt>
                <c:pt idx="536">
                  <c:v>831</c:v>
                </c:pt>
                <c:pt idx="537">
                  <c:v>376</c:v>
                </c:pt>
                <c:pt idx="538">
                  <c:v>489</c:v>
                </c:pt>
                <c:pt idx="539">
                  <c:v>590</c:v>
                </c:pt>
                <c:pt idx="540">
                  <c:v>325</c:v>
                </c:pt>
                <c:pt idx="541">
                  <c:v>773</c:v>
                </c:pt>
                <c:pt idx="542">
                  <c:v>383</c:v>
                </c:pt>
                <c:pt idx="543">
                  <c:v>589</c:v>
                </c:pt>
                <c:pt idx="544">
                  <c:v>442</c:v>
                </c:pt>
                <c:pt idx="545">
                  <c:v>442</c:v>
                </c:pt>
                <c:pt idx="546">
                  <c:v>389</c:v>
                </c:pt>
                <c:pt idx="547">
                  <c:v>495</c:v>
                </c:pt>
                <c:pt idx="548">
                  <c:v>409</c:v>
                </c:pt>
                <c:pt idx="549">
                  <c:v>592</c:v>
                </c:pt>
                <c:pt idx="550">
                  <c:v>500</c:v>
                </c:pt>
                <c:pt idx="551">
                  <c:v>637</c:v>
                </c:pt>
                <c:pt idx="552">
                  <c:v>330</c:v>
                </c:pt>
                <c:pt idx="553">
                  <c:v>528</c:v>
                </c:pt>
                <c:pt idx="554">
                  <c:v>629</c:v>
                </c:pt>
                <c:pt idx="555">
                  <c:v>241</c:v>
                </c:pt>
                <c:pt idx="556">
                  <c:v>460</c:v>
                </c:pt>
                <c:pt idx="557">
                  <c:v>552</c:v>
                </c:pt>
                <c:pt idx="558">
                  <c:v>384</c:v>
                </c:pt>
                <c:pt idx="559">
                  <c:v>486</c:v>
                </c:pt>
                <c:pt idx="560">
                  <c:v>389</c:v>
                </c:pt>
                <c:pt idx="561">
                  <c:v>432</c:v>
                </c:pt>
                <c:pt idx="562">
                  <c:v>289</c:v>
                </c:pt>
                <c:pt idx="563">
                  <c:v>497</c:v>
                </c:pt>
                <c:pt idx="564">
                  <c:v>531</c:v>
                </c:pt>
                <c:pt idx="565">
                  <c:v>389</c:v>
                </c:pt>
                <c:pt idx="566">
                  <c:v>647</c:v>
                </c:pt>
                <c:pt idx="567">
                  <c:v>577</c:v>
                </c:pt>
                <c:pt idx="568">
                  <c:v>289</c:v>
                </c:pt>
                <c:pt idx="569">
                  <c:v>546</c:v>
                </c:pt>
                <c:pt idx="570">
                  <c:v>574</c:v>
                </c:pt>
                <c:pt idx="571">
                  <c:v>439</c:v>
                </c:pt>
                <c:pt idx="572">
                  <c:v>632</c:v>
                </c:pt>
                <c:pt idx="573">
                  <c:v>621</c:v>
                </c:pt>
                <c:pt idx="574">
                  <c:v>290</c:v>
                </c:pt>
                <c:pt idx="575">
                  <c:v>569</c:v>
                </c:pt>
                <c:pt idx="576">
                  <c:v>565</c:v>
                </c:pt>
                <c:pt idx="577">
                  <c:v>571</c:v>
                </c:pt>
                <c:pt idx="578">
                  <c:v>491</c:v>
                </c:pt>
                <c:pt idx="579">
                  <c:v>550</c:v>
                </c:pt>
                <c:pt idx="580">
                  <c:v>866</c:v>
                </c:pt>
                <c:pt idx="581">
                  <c:v>730</c:v>
                </c:pt>
                <c:pt idx="582">
                  <c:v>624</c:v>
                </c:pt>
                <c:pt idx="583">
                  <c:v>526</c:v>
                </c:pt>
                <c:pt idx="584">
                  <c:v>525</c:v>
                </c:pt>
                <c:pt idx="585">
                  <c:v>489</c:v>
                </c:pt>
                <c:pt idx="586">
                  <c:v>579</c:v>
                </c:pt>
                <c:pt idx="587">
                  <c:v>606</c:v>
                </c:pt>
                <c:pt idx="588">
                  <c:v>289</c:v>
                </c:pt>
                <c:pt idx="589">
                  <c:v>518</c:v>
                </c:pt>
                <c:pt idx="590">
                  <c:v>544</c:v>
                </c:pt>
                <c:pt idx="591">
                  <c:v>556</c:v>
                </c:pt>
                <c:pt idx="592">
                  <c:v>489</c:v>
                </c:pt>
                <c:pt idx="593">
                  <c:v>418</c:v>
                </c:pt>
                <c:pt idx="594">
                  <c:v>727</c:v>
                </c:pt>
                <c:pt idx="595">
                  <c:v>717</c:v>
                </c:pt>
                <c:pt idx="596">
                  <c:v>191</c:v>
                </c:pt>
                <c:pt idx="597">
                  <c:v>417</c:v>
                </c:pt>
                <c:pt idx="598">
                  <c:v>598</c:v>
                </c:pt>
                <c:pt idx="599">
                  <c:v>215</c:v>
                </c:pt>
                <c:pt idx="600">
                  <c:v>593</c:v>
                </c:pt>
                <c:pt idx="601">
                  <c:v>479</c:v>
                </c:pt>
                <c:pt idx="602">
                  <c:v>477</c:v>
                </c:pt>
                <c:pt idx="603">
                  <c:v>432</c:v>
                </c:pt>
                <c:pt idx="604">
                  <c:v>224</c:v>
                </c:pt>
                <c:pt idx="605">
                  <c:v>589</c:v>
                </c:pt>
                <c:pt idx="606">
                  <c:v>447</c:v>
                </c:pt>
                <c:pt idx="607">
                  <c:v>516</c:v>
                </c:pt>
                <c:pt idx="608">
                  <c:v>499</c:v>
                </c:pt>
                <c:pt idx="609">
                  <c:v>339</c:v>
                </c:pt>
                <c:pt idx="610">
                  <c:v>580</c:v>
                </c:pt>
                <c:pt idx="611">
                  <c:v>289</c:v>
                </c:pt>
                <c:pt idx="612">
                  <c:v>425</c:v>
                </c:pt>
                <c:pt idx="613">
                  <c:v>496</c:v>
                </c:pt>
                <c:pt idx="614">
                  <c:v>675</c:v>
                </c:pt>
                <c:pt idx="615">
                  <c:v>439</c:v>
                </c:pt>
                <c:pt idx="616">
                  <c:v>596</c:v>
                </c:pt>
                <c:pt idx="617">
                  <c:v>334</c:v>
                </c:pt>
                <c:pt idx="618">
                  <c:v>539</c:v>
                </c:pt>
                <c:pt idx="619">
                  <c:v>439</c:v>
                </c:pt>
                <c:pt idx="620">
                  <c:v>439</c:v>
                </c:pt>
                <c:pt idx="621">
                  <c:v>415</c:v>
                </c:pt>
                <c:pt idx="622">
                  <c:v>400</c:v>
                </c:pt>
                <c:pt idx="623">
                  <c:v>820</c:v>
                </c:pt>
                <c:pt idx="624">
                  <c:v>668</c:v>
                </c:pt>
                <c:pt idx="625">
                  <c:v>760</c:v>
                </c:pt>
                <c:pt idx="626">
                  <c:v>397</c:v>
                </c:pt>
                <c:pt idx="627">
                  <c:v>371</c:v>
                </c:pt>
                <c:pt idx="628">
                  <c:v>405</c:v>
                </c:pt>
                <c:pt idx="629">
                  <c:v>417</c:v>
                </c:pt>
                <c:pt idx="630">
                  <c:v>366</c:v>
                </c:pt>
                <c:pt idx="631">
                  <c:v>529</c:v>
                </c:pt>
                <c:pt idx="632">
                  <c:v>497</c:v>
                </c:pt>
                <c:pt idx="633">
                  <c:v>475</c:v>
                </c:pt>
                <c:pt idx="634">
                  <c:v>650</c:v>
                </c:pt>
                <c:pt idx="635">
                  <c:v>567</c:v>
                </c:pt>
                <c:pt idx="636">
                  <c:v>386</c:v>
                </c:pt>
                <c:pt idx="637">
                  <c:v>687</c:v>
                </c:pt>
                <c:pt idx="638">
                  <c:v>371</c:v>
                </c:pt>
                <c:pt idx="639">
                  <c:v>589</c:v>
                </c:pt>
                <c:pt idx="640">
                  <c:v>584</c:v>
                </c:pt>
                <c:pt idx="641">
                  <c:v>518</c:v>
                </c:pt>
                <c:pt idx="642">
                  <c:v>439</c:v>
                </c:pt>
                <c:pt idx="643">
                  <c:v>434</c:v>
                </c:pt>
                <c:pt idx="644">
                  <c:v>422</c:v>
                </c:pt>
                <c:pt idx="645">
                  <c:v>621</c:v>
                </c:pt>
                <c:pt idx="646">
                  <c:v>499</c:v>
                </c:pt>
                <c:pt idx="647">
                  <c:v>389</c:v>
                </c:pt>
                <c:pt idx="648">
                  <c:v>489</c:v>
                </c:pt>
                <c:pt idx="649">
                  <c:v>427</c:v>
                </c:pt>
                <c:pt idx="650">
                  <c:v>576</c:v>
                </c:pt>
                <c:pt idx="651">
                  <c:v>473</c:v>
                </c:pt>
                <c:pt idx="652">
                  <c:v>526</c:v>
                </c:pt>
                <c:pt idx="653">
                  <c:v>359</c:v>
                </c:pt>
                <c:pt idx="654">
                  <c:v>589</c:v>
                </c:pt>
                <c:pt idx="655">
                  <c:v>439</c:v>
                </c:pt>
                <c:pt idx="656">
                  <c:v>426</c:v>
                </c:pt>
                <c:pt idx="657">
                  <c:v>464</c:v>
                </c:pt>
                <c:pt idx="658">
                  <c:v>605</c:v>
                </c:pt>
                <c:pt idx="659">
                  <c:v>657</c:v>
                </c:pt>
                <c:pt idx="660">
                  <c:v>491</c:v>
                </c:pt>
                <c:pt idx="661">
                  <c:v>688</c:v>
                </c:pt>
                <c:pt idx="662">
                  <c:v>497</c:v>
                </c:pt>
                <c:pt idx="663">
                  <c:v>536</c:v>
                </c:pt>
                <c:pt idx="664">
                  <c:v>449</c:v>
                </c:pt>
                <c:pt idx="665">
                  <c:v>530</c:v>
                </c:pt>
                <c:pt idx="666">
                  <c:v>631</c:v>
                </c:pt>
                <c:pt idx="667">
                  <c:v>505</c:v>
                </c:pt>
                <c:pt idx="668">
                  <c:v>558</c:v>
                </c:pt>
                <c:pt idx="669">
                  <c:v>789</c:v>
                </c:pt>
                <c:pt idx="670">
                  <c:v>928</c:v>
                </c:pt>
                <c:pt idx="671">
                  <c:v>434</c:v>
                </c:pt>
                <c:pt idx="672">
                  <c:v>511</c:v>
                </c:pt>
                <c:pt idx="673">
                  <c:v>328</c:v>
                </c:pt>
                <c:pt idx="674">
                  <c:v>471</c:v>
                </c:pt>
                <c:pt idx="675">
                  <c:v>496</c:v>
                </c:pt>
                <c:pt idx="676">
                  <c:v>591</c:v>
                </c:pt>
                <c:pt idx="677">
                  <c:v>778</c:v>
                </c:pt>
                <c:pt idx="678">
                  <c:v>507</c:v>
                </c:pt>
                <c:pt idx="679">
                  <c:v>168</c:v>
                </c:pt>
                <c:pt idx="680">
                  <c:v>443</c:v>
                </c:pt>
                <c:pt idx="681">
                  <c:v>492</c:v>
                </c:pt>
                <c:pt idx="682">
                  <c:v>468</c:v>
                </c:pt>
                <c:pt idx="683">
                  <c:v>556</c:v>
                </c:pt>
                <c:pt idx="684">
                  <c:v>289</c:v>
                </c:pt>
                <c:pt idx="685">
                  <c:v>449</c:v>
                </c:pt>
                <c:pt idx="686">
                  <c:v>340</c:v>
                </c:pt>
                <c:pt idx="687">
                  <c:v>363</c:v>
                </c:pt>
                <c:pt idx="688">
                  <c:v>389</c:v>
                </c:pt>
                <c:pt idx="689">
                  <c:v>649</c:v>
                </c:pt>
                <c:pt idx="690">
                  <c:v>506</c:v>
                </c:pt>
                <c:pt idx="691">
                  <c:v>439</c:v>
                </c:pt>
                <c:pt idx="692">
                  <c:v>499</c:v>
                </c:pt>
                <c:pt idx="693">
                  <c:v>533</c:v>
                </c:pt>
                <c:pt idx="694">
                  <c:v>463</c:v>
                </c:pt>
                <c:pt idx="695">
                  <c:v>504</c:v>
                </c:pt>
                <c:pt idx="696">
                  <c:v>589</c:v>
                </c:pt>
                <c:pt idx="697">
                  <c:v>596</c:v>
                </c:pt>
                <c:pt idx="698">
                  <c:v>539</c:v>
                </c:pt>
                <c:pt idx="699">
                  <c:v>507</c:v>
                </c:pt>
                <c:pt idx="700">
                  <c:v>586</c:v>
                </c:pt>
                <c:pt idx="701">
                  <c:v>378</c:v>
                </c:pt>
                <c:pt idx="702">
                  <c:v>484</c:v>
                </c:pt>
                <c:pt idx="703">
                  <c:v>489</c:v>
                </c:pt>
                <c:pt idx="704">
                  <c:v>527</c:v>
                </c:pt>
                <c:pt idx="705">
                  <c:v>416</c:v>
                </c:pt>
                <c:pt idx="706">
                  <c:v>463</c:v>
                </c:pt>
                <c:pt idx="707">
                  <c:v>508</c:v>
                </c:pt>
                <c:pt idx="708">
                  <c:v>589</c:v>
                </c:pt>
                <c:pt idx="709">
                  <c:v>544</c:v>
                </c:pt>
                <c:pt idx="710">
                  <c:v>373</c:v>
                </c:pt>
                <c:pt idx="711">
                  <c:v>690</c:v>
                </c:pt>
                <c:pt idx="712">
                  <c:v>389</c:v>
                </c:pt>
                <c:pt idx="713">
                  <c:v>376</c:v>
                </c:pt>
                <c:pt idx="714">
                  <c:v>580</c:v>
                </c:pt>
                <c:pt idx="715">
                  <c:v>789</c:v>
                </c:pt>
                <c:pt idx="716">
                  <c:v>538</c:v>
                </c:pt>
                <c:pt idx="717">
                  <c:v>720</c:v>
                </c:pt>
                <c:pt idx="718">
                  <c:v>453</c:v>
                </c:pt>
                <c:pt idx="719">
                  <c:v>580</c:v>
                </c:pt>
                <c:pt idx="720">
                  <c:v>594</c:v>
                </c:pt>
                <c:pt idx="721">
                  <c:v>575</c:v>
                </c:pt>
                <c:pt idx="722">
                  <c:v>726</c:v>
                </c:pt>
                <c:pt idx="723">
                  <c:v>572</c:v>
                </c:pt>
                <c:pt idx="724">
                  <c:v>775</c:v>
                </c:pt>
                <c:pt idx="725">
                  <c:v>553</c:v>
                </c:pt>
                <c:pt idx="726">
                  <c:v>498</c:v>
                </c:pt>
                <c:pt idx="727">
                  <c:v>430</c:v>
                </c:pt>
                <c:pt idx="728">
                  <c:v>474</c:v>
                </c:pt>
                <c:pt idx="729">
                  <c:v>447</c:v>
                </c:pt>
                <c:pt idx="730">
                  <c:v>426</c:v>
                </c:pt>
                <c:pt idx="731">
                  <c:v>445</c:v>
                </c:pt>
                <c:pt idx="732">
                  <c:v>481</c:v>
                </c:pt>
                <c:pt idx="733">
                  <c:v>359</c:v>
                </c:pt>
                <c:pt idx="734">
                  <c:v>439</c:v>
                </c:pt>
                <c:pt idx="735">
                  <c:v>502</c:v>
                </c:pt>
                <c:pt idx="736">
                  <c:v>520</c:v>
                </c:pt>
                <c:pt idx="737">
                  <c:v>366</c:v>
                </c:pt>
                <c:pt idx="738">
                  <c:v>389</c:v>
                </c:pt>
                <c:pt idx="739">
                  <c:v>589</c:v>
                </c:pt>
                <c:pt idx="740">
                  <c:v>289</c:v>
                </c:pt>
                <c:pt idx="741">
                  <c:v>452</c:v>
                </c:pt>
                <c:pt idx="742">
                  <c:v>405</c:v>
                </c:pt>
                <c:pt idx="743">
                  <c:v>459</c:v>
                </c:pt>
                <c:pt idx="744">
                  <c:v>517</c:v>
                </c:pt>
                <c:pt idx="745">
                  <c:v>748</c:v>
                </c:pt>
                <c:pt idx="746">
                  <c:v>607</c:v>
                </c:pt>
                <c:pt idx="747">
                  <c:v>494</c:v>
                </c:pt>
                <c:pt idx="748">
                  <c:v>539</c:v>
                </c:pt>
                <c:pt idx="749">
                  <c:v>589</c:v>
                </c:pt>
                <c:pt idx="750">
                  <c:v>541</c:v>
                </c:pt>
                <c:pt idx="751">
                  <c:v>539</c:v>
                </c:pt>
                <c:pt idx="752">
                  <c:v>441</c:v>
                </c:pt>
                <c:pt idx="753">
                  <c:v>539</c:v>
                </c:pt>
                <c:pt idx="754">
                  <c:v>433</c:v>
                </c:pt>
                <c:pt idx="755">
                  <c:v>636</c:v>
                </c:pt>
                <c:pt idx="756">
                  <c:v>717</c:v>
                </c:pt>
                <c:pt idx="757">
                  <c:v>347</c:v>
                </c:pt>
                <c:pt idx="758">
                  <c:v>507</c:v>
                </c:pt>
                <c:pt idx="759">
                  <c:v>351</c:v>
                </c:pt>
                <c:pt idx="760">
                  <c:v>518</c:v>
                </c:pt>
                <c:pt idx="761">
                  <c:v>505</c:v>
                </c:pt>
                <c:pt idx="762">
                  <c:v>488</c:v>
                </c:pt>
                <c:pt idx="763">
                  <c:v>479</c:v>
                </c:pt>
                <c:pt idx="764">
                  <c:v>374</c:v>
                </c:pt>
                <c:pt idx="765">
                  <c:v>725</c:v>
                </c:pt>
                <c:pt idx="766">
                  <c:v>272</c:v>
                </c:pt>
                <c:pt idx="767">
                  <c:v>539</c:v>
                </c:pt>
                <c:pt idx="768">
                  <c:v>557</c:v>
                </c:pt>
                <c:pt idx="769">
                  <c:v>554</c:v>
                </c:pt>
                <c:pt idx="770">
                  <c:v>417</c:v>
                </c:pt>
                <c:pt idx="771">
                  <c:v>350</c:v>
                </c:pt>
                <c:pt idx="772">
                  <c:v>501</c:v>
                </c:pt>
                <c:pt idx="773">
                  <c:v>599</c:v>
                </c:pt>
                <c:pt idx="774">
                  <c:v>378</c:v>
                </c:pt>
                <c:pt idx="775">
                  <c:v>589</c:v>
                </c:pt>
                <c:pt idx="776">
                  <c:v>589</c:v>
                </c:pt>
                <c:pt idx="777">
                  <c:v>506</c:v>
                </c:pt>
                <c:pt idx="778">
                  <c:v>396</c:v>
                </c:pt>
                <c:pt idx="779">
                  <c:v>293</c:v>
                </c:pt>
                <c:pt idx="780">
                  <c:v>572</c:v>
                </c:pt>
                <c:pt idx="781">
                  <c:v>721</c:v>
                </c:pt>
                <c:pt idx="782">
                  <c:v>574</c:v>
                </c:pt>
                <c:pt idx="783">
                  <c:v>556</c:v>
                </c:pt>
                <c:pt idx="784">
                  <c:v>824</c:v>
                </c:pt>
                <c:pt idx="785">
                  <c:v>484</c:v>
                </c:pt>
                <c:pt idx="786">
                  <c:v>684</c:v>
                </c:pt>
                <c:pt idx="787">
                  <c:v>442</c:v>
                </c:pt>
                <c:pt idx="788">
                  <c:v>536</c:v>
                </c:pt>
                <c:pt idx="789">
                  <c:v>589</c:v>
                </c:pt>
                <c:pt idx="790">
                  <c:v>525</c:v>
                </c:pt>
                <c:pt idx="791">
                  <c:v>558</c:v>
                </c:pt>
                <c:pt idx="792">
                  <c:v>388</c:v>
                </c:pt>
                <c:pt idx="793">
                  <c:v>255</c:v>
                </c:pt>
                <c:pt idx="794">
                  <c:v>442</c:v>
                </c:pt>
                <c:pt idx="795">
                  <c:v>408</c:v>
                </c:pt>
                <c:pt idx="796">
                  <c:v>678</c:v>
                </c:pt>
                <c:pt idx="797">
                  <c:v>515</c:v>
                </c:pt>
                <c:pt idx="798">
                  <c:v>482</c:v>
                </c:pt>
                <c:pt idx="799">
                  <c:v>623</c:v>
                </c:pt>
                <c:pt idx="800">
                  <c:v>676</c:v>
                </c:pt>
                <c:pt idx="801">
                  <c:v>589</c:v>
                </c:pt>
                <c:pt idx="802">
                  <c:v>583</c:v>
                </c:pt>
                <c:pt idx="803">
                  <c:v>497</c:v>
                </c:pt>
                <c:pt idx="804">
                  <c:v>301</c:v>
                </c:pt>
                <c:pt idx="805">
                  <c:v>662</c:v>
                </c:pt>
                <c:pt idx="806">
                  <c:v>464</c:v>
                </c:pt>
                <c:pt idx="807">
                  <c:v>376</c:v>
                </c:pt>
                <c:pt idx="808">
                  <c:v>715</c:v>
                </c:pt>
                <c:pt idx="809">
                  <c:v>581</c:v>
                </c:pt>
                <c:pt idx="810">
                  <c:v>429</c:v>
                </c:pt>
                <c:pt idx="811">
                  <c:v>498</c:v>
                </c:pt>
                <c:pt idx="812">
                  <c:v>589</c:v>
                </c:pt>
                <c:pt idx="813">
                  <c:v>289</c:v>
                </c:pt>
                <c:pt idx="814">
                  <c:v>435</c:v>
                </c:pt>
                <c:pt idx="815">
                  <c:v>689</c:v>
                </c:pt>
                <c:pt idx="816">
                  <c:v>518</c:v>
                </c:pt>
                <c:pt idx="817">
                  <c:v>579</c:v>
                </c:pt>
                <c:pt idx="818">
                  <c:v>389</c:v>
                </c:pt>
                <c:pt idx="819">
                  <c:v>488</c:v>
                </c:pt>
                <c:pt idx="820">
                  <c:v>746</c:v>
                </c:pt>
                <c:pt idx="821">
                  <c:v>289</c:v>
                </c:pt>
                <c:pt idx="822">
                  <c:v>766</c:v>
                </c:pt>
                <c:pt idx="823">
                  <c:v>789</c:v>
                </c:pt>
                <c:pt idx="824">
                  <c:v>489</c:v>
                </c:pt>
                <c:pt idx="825">
                  <c:v>520</c:v>
                </c:pt>
                <c:pt idx="826">
                  <c:v>452</c:v>
                </c:pt>
                <c:pt idx="827">
                  <c:v>551</c:v>
                </c:pt>
                <c:pt idx="828">
                  <c:v>527</c:v>
                </c:pt>
                <c:pt idx="829">
                  <c:v>398</c:v>
                </c:pt>
                <c:pt idx="830">
                  <c:v>878</c:v>
                </c:pt>
                <c:pt idx="831">
                  <c:v>418</c:v>
                </c:pt>
                <c:pt idx="832">
                  <c:v>389</c:v>
                </c:pt>
                <c:pt idx="833">
                  <c:v>646</c:v>
                </c:pt>
                <c:pt idx="834">
                  <c:v>525</c:v>
                </c:pt>
                <c:pt idx="835">
                  <c:v>273</c:v>
                </c:pt>
                <c:pt idx="836">
                  <c:v>206</c:v>
                </c:pt>
                <c:pt idx="837">
                  <c:v>404</c:v>
                </c:pt>
                <c:pt idx="838">
                  <c:v>564</c:v>
                </c:pt>
                <c:pt idx="839">
                  <c:v>529</c:v>
                </c:pt>
                <c:pt idx="840">
                  <c:v>889</c:v>
                </c:pt>
                <c:pt idx="841">
                  <c:v>339</c:v>
                </c:pt>
                <c:pt idx="842">
                  <c:v>672</c:v>
                </c:pt>
                <c:pt idx="843">
                  <c:v>518</c:v>
                </c:pt>
                <c:pt idx="844">
                  <c:v>323</c:v>
                </c:pt>
                <c:pt idx="845">
                  <c:v>326</c:v>
                </c:pt>
                <c:pt idx="846">
                  <c:v>589</c:v>
                </c:pt>
                <c:pt idx="847">
                  <c:v>508</c:v>
                </c:pt>
                <c:pt idx="848">
                  <c:v>541</c:v>
                </c:pt>
                <c:pt idx="849">
                  <c:v>441</c:v>
                </c:pt>
                <c:pt idx="850">
                  <c:v>450</c:v>
                </c:pt>
                <c:pt idx="851">
                  <c:v>294</c:v>
                </c:pt>
                <c:pt idx="852">
                  <c:v>424</c:v>
                </c:pt>
                <c:pt idx="853">
                  <c:v>317</c:v>
                </c:pt>
                <c:pt idx="854">
                  <c:v>507</c:v>
                </c:pt>
                <c:pt idx="855">
                  <c:v>393</c:v>
                </c:pt>
                <c:pt idx="856">
                  <c:v>579</c:v>
                </c:pt>
                <c:pt idx="857">
                  <c:v>367</c:v>
                </c:pt>
                <c:pt idx="858">
                  <c:v>513</c:v>
                </c:pt>
                <c:pt idx="859">
                  <c:v>473</c:v>
                </c:pt>
                <c:pt idx="860">
                  <c:v>438</c:v>
                </c:pt>
                <c:pt idx="861">
                  <c:v>517</c:v>
                </c:pt>
                <c:pt idx="862">
                  <c:v>323</c:v>
                </c:pt>
                <c:pt idx="863">
                  <c:v>331</c:v>
                </c:pt>
                <c:pt idx="864">
                  <c:v>364</c:v>
                </c:pt>
                <c:pt idx="865">
                  <c:v>455</c:v>
                </c:pt>
                <c:pt idx="866">
                  <c:v>438</c:v>
                </c:pt>
                <c:pt idx="867">
                  <c:v>519</c:v>
                </c:pt>
                <c:pt idx="868">
                  <c:v>763</c:v>
                </c:pt>
                <c:pt idx="869">
                  <c:v>650</c:v>
                </c:pt>
                <c:pt idx="870">
                  <c:v>635</c:v>
                </c:pt>
                <c:pt idx="871">
                  <c:v>635</c:v>
                </c:pt>
                <c:pt idx="872">
                  <c:v>412</c:v>
                </c:pt>
                <c:pt idx="873">
                  <c:v>778</c:v>
                </c:pt>
                <c:pt idx="874">
                  <c:v>391</c:v>
                </c:pt>
                <c:pt idx="875">
                  <c:v>398</c:v>
                </c:pt>
                <c:pt idx="876">
                  <c:v>289</c:v>
                </c:pt>
                <c:pt idx="877">
                  <c:v>289</c:v>
                </c:pt>
                <c:pt idx="878">
                  <c:v>397</c:v>
                </c:pt>
                <c:pt idx="879">
                  <c:v>658</c:v>
                </c:pt>
                <c:pt idx="880">
                  <c:v>459</c:v>
                </c:pt>
                <c:pt idx="881">
                  <c:v>496</c:v>
                </c:pt>
                <c:pt idx="882">
                  <c:v>270</c:v>
                </c:pt>
                <c:pt idx="883">
                  <c:v>480</c:v>
                </c:pt>
                <c:pt idx="884">
                  <c:v>585</c:v>
                </c:pt>
                <c:pt idx="885">
                  <c:v>384</c:v>
                </c:pt>
                <c:pt idx="886">
                  <c:v>594</c:v>
                </c:pt>
                <c:pt idx="887">
                  <c:v>322</c:v>
                </c:pt>
                <c:pt idx="888">
                  <c:v>624</c:v>
                </c:pt>
                <c:pt idx="889">
                  <c:v>604</c:v>
                </c:pt>
                <c:pt idx="890">
                  <c:v>384</c:v>
                </c:pt>
                <c:pt idx="891">
                  <c:v>424</c:v>
                </c:pt>
                <c:pt idx="892">
                  <c:v>489</c:v>
                </c:pt>
                <c:pt idx="893">
                  <c:v>796</c:v>
                </c:pt>
                <c:pt idx="894">
                  <c:v>477</c:v>
                </c:pt>
                <c:pt idx="895">
                  <c:v>411</c:v>
                </c:pt>
                <c:pt idx="896">
                  <c:v>439</c:v>
                </c:pt>
                <c:pt idx="897">
                  <c:v>560</c:v>
                </c:pt>
                <c:pt idx="898">
                  <c:v>400</c:v>
                </c:pt>
                <c:pt idx="899">
                  <c:v>368</c:v>
                </c:pt>
                <c:pt idx="900">
                  <c:v>335</c:v>
                </c:pt>
                <c:pt idx="901">
                  <c:v>463</c:v>
                </c:pt>
                <c:pt idx="902">
                  <c:v>394</c:v>
                </c:pt>
                <c:pt idx="903">
                  <c:v>749</c:v>
                </c:pt>
                <c:pt idx="904">
                  <c:v>410</c:v>
                </c:pt>
                <c:pt idx="905">
                  <c:v>433</c:v>
                </c:pt>
                <c:pt idx="906">
                  <c:v>519</c:v>
                </c:pt>
                <c:pt idx="907">
                  <c:v>589</c:v>
                </c:pt>
                <c:pt idx="908">
                  <c:v>842</c:v>
                </c:pt>
                <c:pt idx="909">
                  <c:v>589</c:v>
                </c:pt>
                <c:pt idx="910">
                  <c:v>539</c:v>
                </c:pt>
                <c:pt idx="911">
                  <c:v>428</c:v>
                </c:pt>
                <c:pt idx="912">
                  <c:v>587</c:v>
                </c:pt>
                <c:pt idx="913">
                  <c:v>481</c:v>
                </c:pt>
                <c:pt idx="914">
                  <c:v>778</c:v>
                </c:pt>
                <c:pt idx="915">
                  <c:v>479</c:v>
                </c:pt>
                <c:pt idx="916">
                  <c:v>582</c:v>
                </c:pt>
                <c:pt idx="917">
                  <c:v>651</c:v>
                </c:pt>
                <c:pt idx="918">
                  <c:v>574</c:v>
                </c:pt>
                <c:pt idx="919">
                  <c:v>673</c:v>
                </c:pt>
                <c:pt idx="920">
                  <c:v>534</c:v>
                </c:pt>
                <c:pt idx="921">
                  <c:v>398</c:v>
                </c:pt>
                <c:pt idx="922">
                  <c:v>289</c:v>
                </c:pt>
                <c:pt idx="923">
                  <c:v>589</c:v>
                </c:pt>
                <c:pt idx="924">
                  <c:v>271</c:v>
                </c:pt>
                <c:pt idx="925">
                  <c:v>384</c:v>
                </c:pt>
                <c:pt idx="926">
                  <c:v>407</c:v>
                </c:pt>
                <c:pt idx="927">
                  <c:v>967</c:v>
                </c:pt>
                <c:pt idx="928">
                  <c:v>630</c:v>
                </c:pt>
                <c:pt idx="929">
                  <c:v>377</c:v>
                </c:pt>
                <c:pt idx="930">
                  <c:v>456</c:v>
                </c:pt>
                <c:pt idx="931">
                  <c:v>704</c:v>
                </c:pt>
                <c:pt idx="932">
                  <c:v>503</c:v>
                </c:pt>
                <c:pt idx="933">
                  <c:v>363</c:v>
                </c:pt>
                <c:pt idx="934">
                  <c:v>453</c:v>
                </c:pt>
                <c:pt idx="935">
                  <c:v>456</c:v>
                </c:pt>
                <c:pt idx="936">
                  <c:v>480</c:v>
                </c:pt>
                <c:pt idx="937">
                  <c:v>425</c:v>
                </c:pt>
                <c:pt idx="938">
                  <c:v>424</c:v>
                </c:pt>
                <c:pt idx="939">
                  <c:v>732</c:v>
                </c:pt>
                <c:pt idx="940">
                  <c:v>895</c:v>
                </c:pt>
                <c:pt idx="941">
                  <c:v>477</c:v>
                </c:pt>
                <c:pt idx="942">
                  <c:v>571</c:v>
                </c:pt>
                <c:pt idx="943">
                  <c:v>744</c:v>
                </c:pt>
                <c:pt idx="944">
                  <c:v>419</c:v>
                </c:pt>
                <c:pt idx="945">
                  <c:v>550</c:v>
                </c:pt>
                <c:pt idx="946">
                  <c:v>588</c:v>
                </c:pt>
                <c:pt idx="947">
                  <c:v>443</c:v>
                </c:pt>
                <c:pt idx="948">
                  <c:v>539</c:v>
                </c:pt>
                <c:pt idx="949">
                  <c:v>397</c:v>
                </c:pt>
                <c:pt idx="950">
                  <c:v>368</c:v>
                </c:pt>
                <c:pt idx="951">
                  <c:v>496</c:v>
                </c:pt>
                <c:pt idx="952">
                  <c:v>254</c:v>
                </c:pt>
                <c:pt idx="953">
                  <c:v>589</c:v>
                </c:pt>
                <c:pt idx="954">
                  <c:v>558</c:v>
                </c:pt>
                <c:pt idx="955">
                  <c:v>564</c:v>
                </c:pt>
                <c:pt idx="956">
                  <c:v>546</c:v>
                </c:pt>
                <c:pt idx="957">
                  <c:v>441</c:v>
                </c:pt>
                <c:pt idx="958">
                  <c:v>405</c:v>
                </c:pt>
                <c:pt idx="959">
                  <c:v>489</c:v>
                </c:pt>
                <c:pt idx="960">
                  <c:v>573</c:v>
                </c:pt>
                <c:pt idx="961">
                  <c:v>717</c:v>
                </c:pt>
                <c:pt idx="962">
                  <c:v>437</c:v>
                </c:pt>
                <c:pt idx="963">
                  <c:v>575</c:v>
                </c:pt>
                <c:pt idx="964">
                  <c:v>445</c:v>
                </c:pt>
                <c:pt idx="965">
                  <c:v>420</c:v>
                </c:pt>
                <c:pt idx="966">
                  <c:v>633</c:v>
                </c:pt>
                <c:pt idx="967">
                  <c:v>556</c:v>
                </c:pt>
                <c:pt idx="968">
                  <c:v>522</c:v>
                </c:pt>
                <c:pt idx="969">
                  <c:v>703</c:v>
                </c:pt>
                <c:pt idx="970">
                  <c:v>395</c:v>
                </c:pt>
                <c:pt idx="971">
                  <c:v>445</c:v>
                </c:pt>
                <c:pt idx="972">
                  <c:v>417</c:v>
                </c:pt>
                <c:pt idx="973">
                  <c:v>481</c:v>
                </c:pt>
                <c:pt idx="974">
                  <c:v>489</c:v>
                </c:pt>
                <c:pt idx="975">
                  <c:v>540</c:v>
                </c:pt>
                <c:pt idx="976">
                  <c:v>409</c:v>
                </c:pt>
                <c:pt idx="977">
                  <c:v>424</c:v>
                </c:pt>
                <c:pt idx="978">
                  <c:v>489</c:v>
                </c:pt>
                <c:pt idx="979">
                  <c:v>576</c:v>
                </c:pt>
                <c:pt idx="980">
                  <c:v>325</c:v>
                </c:pt>
                <c:pt idx="981">
                  <c:v>419</c:v>
                </c:pt>
                <c:pt idx="982">
                  <c:v>558</c:v>
                </c:pt>
                <c:pt idx="983">
                  <c:v>395</c:v>
                </c:pt>
                <c:pt idx="984">
                  <c:v>652</c:v>
                </c:pt>
                <c:pt idx="985">
                  <c:v>563</c:v>
                </c:pt>
                <c:pt idx="986">
                  <c:v>327</c:v>
                </c:pt>
                <c:pt idx="987">
                  <c:v>428</c:v>
                </c:pt>
                <c:pt idx="988">
                  <c:v>492</c:v>
                </c:pt>
                <c:pt idx="989">
                  <c:v>422</c:v>
                </c:pt>
                <c:pt idx="990">
                  <c:v>401</c:v>
                </c:pt>
                <c:pt idx="991">
                  <c:v>449</c:v>
                </c:pt>
                <c:pt idx="992">
                  <c:v>489</c:v>
                </c:pt>
                <c:pt idx="993">
                  <c:v>589</c:v>
                </c:pt>
                <c:pt idx="994">
                  <c:v>551</c:v>
                </c:pt>
                <c:pt idx="995">
                  <c:v>539</c:v>
                </c:pt>
                <c:pt idx="996">
                  <c:v>574</c:v>
                </c:pt>
                <c:pt idx="997">
                  <c:v>566</c:v>
                </c:pt>
                <c:pt idx="998">
                  <c:v>451</c:v>
                </c:pt>
                <c:pt idx="999">
                  <c:v>662</c:v>
                </c:pt>
              </c:numCache>
            </c:numRef>
          </c:yVal>
          <c:smooth val="0"/>
          <c:extLst>
            <c:ext xmlns:c16="http://schemas.microsoft.com/office/drawing/2014/chart" uri="{C3380CC4-5D6E-409C-BE32-E72D297353CC}">
              <c16:uniqueId val="{00000001-2B82-4AB4-BBD7-90F26287761E}"/>
            </c:ext>
          </c:extLst>
        </c:ser>
        <c:dLbls>
          <c:showLegendKey val="0"/>
          <c:showVal val="0"/>
          <c:showCatName val="0"/>
          <c:showSerName val="0"/>
          <c:showPercent val="0"/>
          <c:showBubbleSize val="0"/>
        </c:dLbls>
        <c:axId val="123808400"/>
        <c:axId val="1307417760"/>
      </c:scatterChart>
      <c:valAx>
        <c:axId val="123808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417760"/>
        <c:crosses val="autoZero"/>
        <c:crossBetween val="midCat"/>
      </c:valAx>
      <c:valAx>
        <c:axId val="130741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084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Storage VS</a:t>
            </a:r>
            <a:r>
              <a:rPr lang="en-US" baseline="0"/>
              <a:t> Selling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Raw_Data!$G$2:$G$1001</c:f>
              <c:numCache>
                <c:formatCode>General</c:formatCode>
                <c:ptCount val="1000"/>
                <c:pt idx="0">
                  <c:v>128</c:v>
                </c:pt>
                <c:pt idx="1">
                  <c:v>512</c:v>
                </c:pt>
                <c:pt idx="2">
                  <c:v>64</c:v>
                </c:pt>
                <c:pt idx="3">
                  <c:v>64</c:v>
                </c:pt>
                <c:pt idx="4">
                  <c:v>256</c:v>
                </c:pt>
                <c:pt idx="5">
                  <c:v>56</c:v>
                </c:pt>
                <c:pt idx="6">
                  <c:v>512</c:v>
                </c:pt>
                <c:pt idx="7">
                  <c:v>512</c:v>
                </c:pt>
                <c:pt idx="8">
                  <c:v>128</c:v>
                </c:pt>
                <c:pt idx="9">
                  <c:v>256</c:v>
                </c:pt>
                <c:pt idx="10">
                  <c:v>256</c:v>
                </c:pt>
                <c:pt idx="11">
                  <c:v>256</c:v>
                </c:pt>
                <c:pt idx="12">
                  <c:v>64</c:v>
                </c:pt>
                <c:pt idx="13">
                  <c:v>512</c:v>
                </c:pt>
                <c:pt idx="14">
                  <c:v>64</c:v>
                </c:pt>
                <c:pt idx="15">
                  <c:v>64</c:v>
                </c:pt>
                <c:pt idx="16">
                  <c:v>256</c:v>
                </c:pt>
                <c:pt idx="17">
                  <c:v>512</c:v>
                </c:pt>
                <c:pt idx="18">
                  <c:v>512</c:v>
                </c:pt>
                <c:pt idx="19">
                  <c:v>128</c:v>
                </c:pt>
                <c:pt idx="20">
                  <c:v>512</c:v>
                </c:pt>
                <c:pt idx="21">
                  <c:v>128</c:v>
                </c:pt>
                <c:pt idx="22">
                  <c:v>512</c:v>
                </c:pt>
                <c:pt idx="23">
                  <c:v>128</c:v>
                </c:pt>
                <c:pt idx="24">
                  <c:v>512</c:v>
                </c:pt>
                <c:pt idx="25">
                  <c:v>512</c:v>
                </c:pt>
                <c:pt idx="26">
                  <c:v>256</c:v>
                </c:pt>
                <c:pt idx="27">
                  <c:v>128</c:v>
                </c:pt>
                <c:pt idx="28">
                  <c:v>256</c:v>
                </c:pt>
                <c:pt idx="29">
                  <c:v>128</c:v>
                </c:pt>
                <c:pt idx="30">
                  <c:v>256</c:v>
                </c:pt>
                <c:pt idx="31">
                  <c:v>128</c:v>
                </c:pt>
                <c:pt idx="32">
                  <c:v>128</c:v>
                </c:pt>
                <c:pt idx="33">
                  <c:v>128</c:v>
                </c:pt>
                <c:pt idx="34">
                  <c:v>256</c:v>
                </c:pt>
                <c:pt idx="35">
                  <c:v>512</c:v>
                </c:pt>
                <c:pt idx="36">
                  <c:v>128</c:v>
                </c:pt>
                <c:pt idx="37">
                  <c:v>256</c:v>
                </c:pt>
                <c:pt idx="38">
                  <c:v>512</c:v>
                </c:pt>
                <c:pt idx="39">
                  <c:v>256</c:v>
                </c:pt>
                <c:pt idx="40">
                  <c:v>64</c:v>
                </c:pt>
                <c:pt idx="41">
                  <c:v>128</c:v>
                </c:pt>
                <c:pt idx="42">
                  <c:v>256</c:v>
                </c:pt>
                <c:pt idx="43">
                  <c:v>256</c:v>
                </c:pt>
                <c:pt idx="44">
                  <c:v>256</c:v>
                </c:pt>
                <c:pt idx="45">
                  <c:v>512</c:v>
                </c:pt>
                <c:pt idx="46">
                  <c:v>64</c:v>
                </c:pt>
                <c:pt idx="47">
                  <c:v>512</c:v>
                </c:pt>
                <c:pt idx="48">
                  <c:v>512</c:v>
                </c:pt>
                <c:pt idx="49">
                  <c:v>128</c:v>
                </c:pt>
                <c:pt idx="50">
                  <c:v>128</c:v>
                </c:pt>
                <c:pt idx="51">
                  <c:v>256</c:v>
                </c:pt>
                <c:pt idx="52">
                  <c:v>128</c:v>
                </c:pt>
                <c:pt idx="53">
                  <c:v>256</c:v>
                </c:pt>
                <c:pt idx="54">
                  <c:v>256</c:v>
                </c:pt>
                <c:pt idx="55">
                  <c:v>128</c:v>
                </c:pt>
                <c:pt idx="56">
                  <c:v>512</c:v>
                </c:pt>
                <c:pt idx="57">
                  <c:v>256</c:v>
                </c:pt>
                <c:pt idx="58">
                  <c:v>128</c:v>
                </c:pt>
                <c:pt idx="59">
                  <c:v>64</c:v>
                </c:pt>
                <c:pt idx="60">
                  <c:v>512</c:v>
                </c:pt>
                <c:pt idx="61">
                  <c:v>256</c:v>
                </c:pt>
                <c:pt idx="62">
                  <c:v>256</c:v>
                </c:pt>
                <c:pt idx="63">
                  <c:v>64</c:v>
                </c:pt>
                <c:pt idx="64">
                  <c:v>128</c:v>
                </c:pt>
                <c:pt idx="65">
                  <c:v>64</c:v>
                </c:pt>
                <c:pt idx="66">
                  <c:v>64</c:v>
                </c:pt>
                <c:pt idx="67">
                  <c:v>256</c:v>
                </c:pt>
                <c:pt idx="68">
                  <c:v>64</c:v>
                </c:pt>
                <c:pt idx="69">
                  <c:v>128</c:v>
                </c:pt>
                <c:pt idx="70">
                  <c:v>64</c:v>
                </c:pt>
                <c:pt idx="71">
                  <c:v>256</c:v>
                </c:pt>
                <c:pt idx="72">
                  <c:v>256</c:v>
                </c:pt>
                <c:pt idx="73">
                  <c:v>64</c:v>
                </c:pt>
                <c:pt idx="74">
                  <c:v>256</c:v>
                </c:pt>
                <c:pt idx="75">
                  <c:v>512</c:v>
                </c:pt>
                <c:pt idx="76">
                  <c:v>64</c:v>
                </c:pt>
                <c:pt idx="77">
                  <c:v>64</c:v>
                </c:pt>
                <c:pt idx="78">
                  <c:v>512</c:v>
                </c:pt>
                <c:pt idx="79">
                  <c:v>64</c:v>
                </c:pt>
                <c:pt idx="80">
                  <c:v>64</c:v>
                </c:pt>
                <c:pt idx="81">
                  <c:v>256</c:v>
                </c:pt>
                <c:pt idx="82">
                  <c:v>512</c:v>
                </c:pt>
                <c:pt idx="83">
                  <c:v>256</c:v>
                </c:pt>
                <c:pt idx="84">
                  <c:v>256</c:v>
                </c:pt>
                <c:pt idx="85">
                  <c:v>128</c:v>
                </c:pt>
                <c:pt idx="86">
                  <c:v>128</c:v>
                </c:pt>
                <c:pt idx="87">
                  <c:v>64</c:v>
                </c:pt>
                <c:pt idx="88">
                  <c:v>512</c:v>
                </c:pt>
                <c:pt idx="89">
                  <c:v>256</c:v>
                </c:pt>
                <c:pt idx="90">
                  <c:v>256</c:v>
                </c:pt>
                <c:pt idx="91">
                  <c:v>512</c:v>
                </c:pt>
                <c:pt idx="92">
                  <c:v>128</c:v>
                </c:pt>
                <c:pt idx="93">
                  <c:v>128</c:v>
                </c:pt>
                <c:pt idx="94">
                  <c:v>64</c:v>
                </c:pt>
                <c:pt idx="95">
                  <c:v>256</c:v>
                </c:pt>
                <c:pt idx="96">
                  <c:v>64</c:v>
                </c:pt>
                <c:pt idx="97">
                  <c:v>128</c:v>
                </c:pt>
                <c:pt idx="98">
                  <c:v>64</c:v>
                </c:pt>
                <c:pt idx="99">
                  <c:v>64</c:v>
                </c:pt>
                <c:pt idx="100">
                  <c:v>128</c:v>
                </c:pt>
                <c:pt idx="101">
                  <c:v>512</c:v>
                </c:pt>
                <c:pt idx="102">
                  <c:v>512</c:v>
                </c:pt>
                <c:pt idx="103">
                  <c:v>256</c:v>
                </c:pt>
                <c:pt idx="104">
                  <c:v>128</c:v>
                </c:pt>
                <c:pt idx="105">
                  <c:v>512</c:v>
                </c:pt>
                <c:pt idx="106">
                  <c:v>512</c:v>
                </c:pt>
                <c:pt idx="107">
                  <c:v>128</c:v>
                </c:pt>
                <c:pt idx="108">
                  <c:v>64</c:v>
                </c:pt>
                <c:pt idx="109">
                  <c:v>128</c:v>
                </c:pt>
                <c:pt idx="110">
                  <c:v>64</c:v>
                </c:pt>
                <c:pt idx="111">
                  <c:v>128</c:v>
                </c:pt>
                <c:pt idx="112">
                  <c:v>64</c:v>
                </c:pt>
                <c:pt idx="113">
                  <c:v>128</c:v>
                </c:pt>
                <c:pt idx="114">
                  <c:v>64</c:v>
                </c:pt>
                <c:pt idx="115">
                  <c:v>128</c:v>
                </c:pt>
                <c:pt idx="116">
                  <c:v>256</c:v>
                </c:pt>
                <c:pt idx="117">
                  <c:v>64</c:v>
                </c:pt>
                <c:pt idx="118">
                  <c:v>128</c:v>
                </c:pt>
                <c:pt idx="119">
                  <c:v>64</c:v>
                </c:pt>
                <c:pt idx="120">
                  <c:v>64</c:v>
                </c:pt>
                <c:pt idx="121">
                  <c:v>512</c:v>
                </c:pt>
                <c:pt idx="122">
                  <c:v>256</c:v>
                </c:pt>
                <c:pt idx="123">
                  <c:v>512</c:v>
                </c:pt>
                <c:pt idx="124">
                  <c:v>256</c:v>
                </c:pt>
                <c:pt idx="125">
                  <c:v>64</c:v>
                </c:pt>
                <c:pt idx="126">
                  <c:v>64</c:v>
                </c:pt>
                <c:pt idx="127">
                  <c:v>128</c:v>
                </c:pt>
                <c:pt idx="128">
                  <c:v>256</c:v>
                </c:pt>
                <c:pt idx="129">
                  <c:v>128</c:v>
                </c:pt>
                <c:pt idx="130">
                  <c:v>64</c:v>
                </c:pt>
                <c:pt idx="131">
                  <c:v>64</c:v>
                </c:pt>
                <c:pt idx="132">
                  <c:v>64</c:v>
                </c:pt>
                <c:pt idx="133">
                  <c:v>128</c:v>
                </c:pt>
                <c:pt idx="134">
                  <c:v>64</c:v>
                </c:pt>
                <c:pt idx="135">
                  <c:v>64</c:v>
                </c:pt>
                <c:pt idx="136">
                  <c:v>64</c:v>
                </c:pt>
                <c:pt idx="137">
                  <c:v>64</c:v>
                </c:pt>
                <c:pt idx="138">
                  <c:v>256</c:v>
                </c:pt>
                <c:pt idx="139">
                  <c:v>512</c:v>
                </c:pt>
                <c:pt idx="140">
                  <c:v>64</c:v>
                </c:pt>
                <c:pt idx="141">
                  <c:v>128</c:v>
                </c:pt>
                <c:pt idx="142">
                  <c:v>256</c:v>
                </c:pt>
                <c:pt idx="143">
                  <c:v>512</c:v>
                </c:pt>
                <c:pt idx="144">
                  <c:v>512</c:v>
                </c:pt>
                <c:pt idx="145">
                  <c:v>256</c:v>
                </c:pt>
                <c:pt idx="146">
                  <c:v>256</c:v>
                </c:pt>
                <c:pt idx="147">
                  <c:v>128</c:v>
                </c:pt>
                <c:pt idx="148">
                  <c:v>256</c:v>
                </c:pt>
                <c:pt idx="149">
                  <c:v>128</c:v>
                </c:pt>
                <c:pt idx="150">
                  <c:v>128</c:v>
                </c:pt>
                <c:pt idx="151">
                  <c:v>256</c:v>
                </c:pt>
                <c:pt idx="152">
                  <c:v>256</c:v>
                </c:pt>
                <c:pt idx="153">
                  <c:v>128</c:v>
                </c:pt>
                <c:pt idx="154">
                  <c:v>64</c:v>
                </c:pt>
                <c:pt idx="155">
                  <c:v>256</c:v>
                </c:pt>
                <c:pt idx="156">
                  <c:v>64</c:v>
                </c:pt>
                <c:pt idx="157">
                  <c:v>128</c:v>
                </c:pt>
                <c:pt idx="158">
                  <c:v>128</c:v>
                </c:pt>
                <c:pt idx="159">
                  <c:v>128</c:v>
                </c:pt>
                <c:pt idx="160">
                  <c:v>128</c:v>
                </c:pt>
                <c:pt idx="161">
                  <c:v>128</c:v>
                </c:pt>
                <c:pt idx="162">
                  <c:v>64</c:v>
                </c:pt>
                <c:pt idx="163">
                  <c:v>256</c:v>
                </c:pt>
                <c:pt idx="164">
                  <c:v>64</c:v>
                </c:pt>
                <c:pt idx="165">
                  <c:v>128</c:v>
                </c:pt>
                <c:pt idx="166">
                  <c:v>64</c:v>
                </c:pt>
                <c:pt idx="167">
                  <c:v>64</c:v>
                </c:pt>
                <c:pt idx="168">
                  <c:v>256</c:v>
                </c:pt>
                <c:pt idx="169">
                  <c:v>64</c:v>
                </c:pt>
                <c:pt idx="170">
                  <c:v>256</c:v>
                </c:pt>
                <c:pt idx="171">
                  <c:v>128</c:v>
                </c:pt>
                <c:pt idx="172">
                  <c:v>64</c:v>
                </c:pt>
                <c:pt idx="173">
                  <c:v>512</c:v>
                </c:pt>
                <c:pt idx="174">
                  <c:v>128</c:v>
                </c:pt>
                <c:pt idx="175">
                  <c:v>64</c:v>
                </c:pt>
                <c:pt idx="176">
                  <c:v>512</c:v>
                </c:pt>
                <c:pt idx="177">
                  <c:v>128</c:v>
                </c:pt>
                <c:pt idx="178">
                  <c:v>128</c:v>
                </c:pt>
                <c:pt idx="179">
                  <c:v>128</c:v>
                </c:pt>
                <c:pt idx="180">
                  <c:v>64</c:v>
                </c:pt>
                <c:pt idx="181">
                  <c:v>128</c:v>
                </c:pt>
                <c:pt idx="182">
                  <c:v>256</c:v>
                </c:pt>
                <c:pt idx="183">
                  <c:v>512</c:v>
                </c:pt>
                <c:pt idx="184">
                  <c:v>256</c:v>
                </c:pt>
                <c:pt idx="185">
                  <c:v>256</c:v>
                </c:pt>
                <c:pt idx="186">
                  <c:v>512</c:v>
                </c:pt>
                <c:pt idx="187">
                  <c:v>64</c:v>
                </c:pt>
                <c:pt idx="188">
                  <c:v>128</c:v>
                </c:pt>
                <c:pt idx="189">
                  <c:v>256</c:v>
                </c:pt>
                <c:pt idx="190">
                  <c:v>512</c:v>
                </c:pt>
                <c:pt idx="191">
                  <c:v>128</c:v>
                </c:pt>
                <c:pt idx="192">
                  <c:v>128</c:v>
                </c:pt>
                <c:pt idx="193">
                  <c:v>64</c:v>
                </c:pt>
                <c:pt idx="194">
                  <c:v>256</c:v>
                </c:pt>
                <c:pt idx="195">
                  <c:v>128</c:v>
                </c:pt>
                <c:pt idx="196">
                  <c:v>128</c:v>
                </c:pt>
                <c:pt idx="197">
                  <c:v>512</c:v>
                </c:pt>
                <c:pt idx="198">
                  <c:v>128</c:v>
                </c:pt>
                <c:pt idx="199">
                  <c:v>256</c:v>
                </c:pt>
                <c:pt idx="200">
                  <c:v>256</c:v>
                </c:pt>
                <c:pt idx="201">
                  <c:v>256</c:v>
                </c:pt>
                <c:pt idx="202">
                  <c:v>128</c:v>
                </c:pt>
                <c:pt idx="203">
                  <c:v>64</c:v>
                </c:pt>
                <c:pt idx="204">
                  <c:v>64</c:v>
                </c:pt>
                <c:pt idx="205">
                  <c:v>256</c:v>
                </c:pt>
                <c:pt idx="206">
                  <c:v>64</c:v>
                </c:pt>
                <c:pt idx="207">
                  <c:v>128</c:v>
                </c:pt>
                <c:pt idx="208">
                  <c:v>512</c:v>
                </c:pt>
                <c:pt idx="209">
                  <c:v>128</c:v>
                </c:pt>
                <c:pt idx="210">
                  <c:v>128</c:v>
                </c:pt>
                <c:pt idx="211">
                  <c:v>64</c:v>
                </c:pt>
                <c:pt idx="212">
                  <c:v>128</c:v>
                </c:pt>
                <c:pt idx="213">
                  <c:v>64</c:v>
                </c:pt>
                <c:pt idx="214">
                  <c:v>64</c:v>
                </c:pt>
                <c:pt idx="215">
                  <c:v>512</c:v>
                </c:pt>
                <c:pt idx="216">
                  <c:v>128</c:v>
                </c:pt>
                <c:pt idx="217">
                  <c:v>128</c:v>
                </c:pt>
                <c:pt idx="218">
                  <c:v>512</c:v>
                </c:pt>
                <c:pt idx="219">
                  <c:v>64</c:v>
                </c:pt>
                <c:pt idx="220">
                  <c:v>64</c:v>
                </c:pt>
                <c:pt idx="221">
                  <c:v>64</c:v>
                </c:pt>
                <c:pt idx="222">
                  <c:v>256</c:v>
                </c:pt>
                <c:pt idx="223">
                  <c:v>128</c:v>
                </c:pt>
                <c:pt idx="224">
                  <c:v>64</c:v>
                </c:pt>
                <c:pt idx="225">
                  <c:v>64</c:v>
                </c:pt>
                <c:pt idx="226">
                  <c:v>128</c:v>
                </c:pt>
                <c:pt idx="227">
                  <c:v>256</c:v>
                </c:pt>
                <c:pt idx="228">
                  <c:v>128</c:v>
                </c:pt>
                <c:pt idx="229">
                  <c:v>256</c:v>
                </c:pt>
                <c:pt idx="230">
                  <c:v>64</c:v>
                </c:pt>
                <c:pt idx="231">
                  <c:v>64</c:v>
                </c:pt>
                <c:pt idx="232">
                  <c:v>256</c:v>
                </c:pt>
                <c:pt idx="233">
                  <c:v>512</c:v>
                </c:pt>
                <c:pt idx="234">
                  <c:v>64</c:v>
                </c:pt>
                <c:pt idx="235">
                  <c:v>128</c:v>
                </c:pt>
                <c:pt idx="236">
                  <c:v>128</c:v>
                </c:pt>
                <c:pt idx="237">
                  <c:v>64</c:v>
                </c:pt>
                <c:pt idx="238">
                  <c:v>256</c:v>
                </c:pt>
                <c:pt idx="239">
                  <c:v>64</c:v>
                </c:pt>
                <c:pt idx="240">
                  <c:v>64</c:v>
                </c:pt>
                <c:pt idx="241">
                  <c:v>64</c:v>
                </c:pt>
                <c:pt idx="242">
                  <c:v>256</c:v>
                </c:pt>
                <c:pt idx="243">
                  <c:v>512</c:v>
                </c:pt>
                <c:pt idx="244">
                  <c:v>512</c:v>
                </c:pt>
                <c:pt idx="245">
                  <c:v>512</c:v>
                </c:pt>
                <c:pt idx="246">
                  <c:v>256</c:v>
                </c:pt>
                <c:pt idx="247">
                  <c:v>256</c:v>
                </c:pt>
                <c:pt idx="248">
                  <c:v>128</c:v>
                </c:pt>
                <c:pt idx="249">
                  <c:v>128</c:v>
                </c:pt>
                <c:pt idx="250">
                  <c:v>128</c:v>
                </c:pt>
                <c:pt idx="251">
                  <c:v>128</c:v>
                </c:pt>
                <c:pt idx="252">
                  <c:v>128</c:v>
                </c:pt>
                <c:pt idx="253">
                  <c:v>512</c:v>
                </c:pt>
                <c:pt idx="254">
                  <c:v>256</c:v>
                </c:pt>
                <c:pt idx="255">
                  <c:v>256</c:v>
                </c:pt>
                <c:pt idx="256">
                  <c:v>64</c:v>
                </c:pt>
                <c:pt idx="257">
                  <c:v>128</c:v>
                </c:pt>
                <c:pt idx="258">
                  <c:v>64</c:v>
                </c:pt>
                <c:pt idx="259">
                  <c:v>128</c:v>
                </c:pt>
                <c:pt idx="260">
                  <c:v>64</c:v>
                </c:pt>
                <c:pt idx="261">
                  <c:v>128</c:v>
                </c:pt>
                <c:pt idx="262">
                  <c:v>64</c:v>
                </c:pt>
                <c:pt idx="263">
                  <c:v>64</c:v>
                </c:pt>
                <c:pt idx="264">
                  <c:v>128</c:v>
                </c:pt>
                <c:pt idx="265">
                  <c:v>256</c:v>
                </c:pt>
                <c:pt idx="266">
                  <c:v>128</c:v>
                </c:pt>
                <c:pt idx="267">
                  <c:v>512</c:v>
                </c:pt>
                <c:pt idx="268">
                  <c:v>64</c:v>
                </c:pt>
                <c:pt idx="269">
                  <c:v>512</c:v>
                </c:pt>
                <c:pt idx="270">
                  <c:v>512</c:v>
                </c:pt>
                <c:pt idx="271">
                  <c:v>512</c:v>
                </c:pt>
                <c:pt idx="272">
                  <c:v>512</c:v>
                </c:pt>
                <c:pt idx="273">
                  <c:v>64</c:v>
                </c:pt>
                <c:pt idx="274">
                  <c:v>128</c:v>
                </c:pt>
                <c:pt idx="275">
                  <c:v>512</c:v>
                </c:pt>
                <c:pt idx="276">
                  <c:v>256</c:v>
                </c:pt>
                <c:pt idx="277">
                  <c:v>64</c:v>
                </c:pt>
                <c:pt idx="278">
                  <c:v>64</c:v>
                </c:pt>
                <c:pt idx="279">
                  <c:v>512</c:v>
                </c:pt>
                <c:pt idx="280">
                  <c:v>256</c:v>
                </c:pt>
                <c:pt idx="281">
                  <c:v>64</c:v>
                </c:pt>
                <c:pt idx="282">
                  <c:v>512</c:v>
                </c:pt>
                <c:pt idx="283">
                  <c:v>128</c:v>
                </c:pt>
                <c:pt idx="284">
                  <c:v>256</c:v>
                </c:pt>
                <c:pt idx="285">
                  <c:v>512</c:v>
                </c:pt>
                <c:pt idx="286">
                  <c:v>256</c:v>
                </c:pt>
                <c:pt idx="287">
                  <c:v>64</c:v>
                </c:pt>
                <c:pt idx="288">
                  <c:v>64</c:v>
                </c:pt>
                <c:pt idx="289">
                  <c:v>64</c:v>
                </c:pt>
                <c:pt idx="290">
                  <c:v>64</c:v>
                </c:pt>
                <c:pt idx="291">
                  <c:v>128</c:v>
                </c:pt>
                <c:pt idx="292">
                  <c:v>64</c:v>
                </c:pt>
                <c:pt idx="293">
                  <c:v>512</c:v>
                </c:pt>
                <c:pt idx="294">
                  <c:v>64</c:v>
                </c:pt>
                <c:pt idx="295">
                  <c:v>128</c:v>
                </c:pt>
                <c:pt idx="296">
                  <c:v>64</c:v>
                </c:pt>
                <c:pt idx="297">
                  <c:v>512</c:v>
                </c:pt>
                <c:pt idx="298">
                  <c:v>512</c:v>
                </c:pt>
                <c:pt idx="299">
                  <c:v>64</c:v>
                </c:pt>
                <c:pt idx="300">
                  <c:v>64</c:v>
                </c:pt>
                <c:pt idx="301">
                  <c:v>512</c:v>
                </c:pt>
                <c:pt idx="302">
                  <c:v>128</c:v>
                </c:pt>
                <c:pt idx="303">
                  <c:v>256</c:v>
                </c:pt>
                <c:pt idx="304">
                  <c:v>128</c:v>
                </c:pt>
                <c:pt idx="305">
                  <c:v>128</c:v>
                </c:pt>
                <c:pt idx="306">
                  <c:v>64</c:v>
                </c:pt>
                <c:pt idx="307">
                  <c:v>64</c:v>
                </c:pt>
                <c:pt idx="308">
                  <c:v>128</c:v>
                </c:pt>
                <c:pt idx="309">
                  <c:v>128</c:v>
                </c:pt>
                <c:pt idx="310">
                  <c:v>64</c:v>
                </c:pt>
                <c:pt idx="311">
                  <c:v>128</c:v>
                </c:pt>
                <c:pt idx="312">
                  <c:v>256</c:v>
                </c:pt>
                <c:pt idx="313">
                  <c:v>512</c:v>
                </c:pt>
                <c:pt idx="314">
                  <c:v>128</c:v>
                </c:pt>
                <c:pt idx="315">
                  <c:v>64</c:v>
                </c:pt>
                <c:pt idx="316">
                  <c:v>64</c:v>
                </c:pt>
                <c:pt idx="317">
                  <c:v>512</c:v>
                </c:pt>
                <c:pt idx="318">
                  <c:v>512</c:v>
                </c:pt>
                <c:pt idx="319">
                  <c:v>256</c:v>
                </c:pt>
                <c:pt idx="320">
                  <c:v>128</c:v>
                </c:pt>
                <c:pt idx="321">
                  <c:v>256</c:v>
                </c:pt>
                <c:pt idx="322">
                  <c:v>64</c:v>
                </c:pt>
                <c:pt idx="323">
                  <c:v>128</c:v>
                </c:pt>
                <c:pt idx="324">
                  <c:v>128</c:v>
                </c:pt>
                <c:pt idx="325">
                  <c:v>512</c:v>
                </c:pt>
                <c:pt idx="326">
                  <c:v>512</c:v>
                </c:pt>
                <c:pt idx="327">
                  <c:v>512</c:v>
                </c:pt>
                <c:pt idx="328">
                  <c:v>256</c:v>
                </c:pt>
                <c:pt idx="329">
                  <c:v>64</c:v>
                </c:pt>
                <c:pt idx="330">
                  <c:v>256</c:v>
                </c:pt>
                <c:pt idx="331">
                  <c:v>128</c:v>
                </c:pt>
                <c:pt idx="332">
                  <c:v>64</c:v>
                </c:pt>
                <c:pt idx="333">
                  <c:v>128</c:v>
                </c:pt>
                <c:pt idx="334">
                  <c:v>256</c:v>
                </c:pt>
                <c:pt idx="335">
                  <c:v>512</c:v>
                </c:pt>
                <c:pt idx="336">
                  <c:v>64</c:v>
                </c:pt>
                <c:pt idx="337">
                  <c:v>256</c:v>
                </c:pt>
                <c:pt idx="338">
                  <c:v>256</c:v>
                </c:pt>
                <c:pt idx="339">
                  <c:v>64</c:v>
                </c:pt>
                <c:pt idx="340">
                  <c:v>64</c:v>
                </c:pt>
                <c:pt idx="341">
                  <c:v>128</c:v>
                </c:pt>
                <c:pt idx="342">
                  <c:v>64</c:v>
                </c:pt>
                <c:pt idx="343">
                  <c:v>512</c:v>
                </c:pt>
                <c:pt idx="344">
                  <c:v>128</c:v>
                </c:pt>
                <c:pt idx="345">
                  <c:v>512</c:v>
                </c:pt>
                <c:pt idx="346">
                  <c:v>256</c:v>
                </c:pt>
                <c:pt idx="347">
                  <c:v>128</c:v>
                </c:pt>
                <c:pt idx="348">
                  <c:v>512</c:v>
                </c:pt>
                <c:pt idx="349">
                  <c:v>128</c:v>
                </c:pt>
                <c:pt idx="350">
                  <c:v>512</c:v>
                </c:pt>
                <c:pt idx="351">
                  <c:v>64</c:v>
                </c:pt>
                <c:pt idx="352">
                  <c:v>512</c:v>
                </c:pt>
                <c:pt idx="353">
                  <c:v>64</c:v>
                </c:pt>
                <c:pt idx="354">
                  <c:v>256</c:v>
                </c:pt>
                <c:pt idx="355">
                  <c:v>256</c:v>
                </c:pt>
                <c:pt idx="356">
                  <c:v>256</c:v>
                </c:pt>
                <c:pt idx="357">
                  <c:v>64</c:v>
                </c:pt>
                <c:pt idx="358">
                  <c:v>512</c:v>
                </c:pt>
                <c:pt idx="359">
                  <c:v>512</c:v>
                </c:pt>
                <c:pt idx="360">
                  <c:v>64</c:v>
                </c:pt>
                <c:pt idx="361">
                  <c:v>256</c:v>
                </c:pt>
                <c:pt idx="362">
                  <c:v>64</c:v>
                </c:pt>
                <c:pt idx="363">
                  <c:v>64</c:v>
                </c:pt>
                <c:pt idx="364">
                  <c:v>64</c:v>
                </c:pt>
                <c:pt idx="365">
                  <c:v>64</c:v>
                </c:pt>
                <c:pt idx="366">
                  <c:v>256</c:v>
                </c:pt>
                <c:pt idx="367">
                  <c:v>128</c:v>
                </c:pt>
                <c:pt idx="368">
                  <c:v>128</c:v>
                </c:pt>
                <c:pt idx="369">
                  <c:v>64</c:v>
                </c:pt>
                <c:pt idx="370">
                  <c:v>512</c:v>
                </c:pt>
                <c:pt idx="371">
                  <c:v>64</c:v>
                </c:pt>
                <c:pt idx="372">
                  <c:v>64</c:v>
                </c:pt>
                <c:pt idx="373">
                  <c:v>512</c:v>
                </c:pt>
                <c:pt idx="374">
                  <c:v>64</c:v>
                </c:pt>
                <c:pt idx="375">
                  <c:v>512</c:v>
                </c:pt>
                <c:pt idx="376">
                  <c:v>512</c:v>
                </c:pt>
                <c:pt idx="377">
                  <c:v>64</c:v>
                </c:pt>
                <c:pt idx="378">
                  <c:v>64</c:v>
                </c:pt>
                <c:pt idx="379">
                  <c:v>128</c:v>
                </c:pt>
                <c:pt idx="380">
                  <c:v>64</c:v>
                </c:pt>
                <c:pt idx="381">
                  <c:v>64</c:v>
                </c:pt>
                <c:pt idx="382">
                  <c:v>512</c:v>
                </c:pt>
                <c:pt idx="383">
                  <c:v>256</c:v>
                </c:pt>
                <c:pt idx="384">
                  <c:v>128</c:v>
                </c:pt>
                <c:pt idx="385">
                  <c:v>64</c:v>
                </c:pt>
                <c:pt idx="386">
                  <c:v>512</c:v>
                </c:pt>
                <c:pt idx="387">
                  <c:v>256</c:v>
                </c:pt>
                <c:pt idx="388">
                  <c:v>512</c:v>
                </c:pt>
                <c:pt idx="389">
                  <c:v>256</c:v>
                </c:pt>
                <c:pt idx="390">
                  <c:v>512</c:v>
                </c:pt>
                <c:pt idx="391">
                  <c:v>512</c:v>
                </c:pt>
                <c:pt idx="392">
                  <c:v>512</c:v>
                </c:pt>
                <c:pt idx="393">
                  <c:v>128</c:v>
                </c:pt>
                <c:pt idx="394">
                  <c:v>64</c:v>
                </c:pt>
                <c:pt idx="395">
                  <c:v>64</c:v>
                </c:pt>
                <c:pt idx="396">
                  <c:v>64</c:v>
                </c:pt>
                <c:pt idx="397">
                  <c:v>256</c:v>
                </c:pt>
                <c:pt idx="398">
                  <c:v>64</c:v>
                </c:pt>
                <c:pt idx="399">
                  <c:v>128</c:v>
                </c:pt>
                <c:pt idx="400">
                  <c:v>512</c:v>
                </c:pt>
                <c:pt idx="401">
                  <c:v>128</c:v>
                </c:pt>
                <c:pt idx="402">
                  <c:v>256</c:v>
                </c:pt>
                <c:pt idx="403">
                  <c:v>256</c:v>
                </c:pt>
                <c:pt idx="404">
                  <c:v>64</c:v>
                </c:pt>
                <c:pt idx="405">
                  <c:v>64</c:v>
                </c:pt>
                <c:pt idx="406">
                  <c:v>256</c:v>
                </c:pt>
                <c:pt idx="407">
                  <c:v>512</c:v>
                </c:pt>
                <c:pt idx="408">
                  <c:v>128</c:v>
                </c:pt>
                <c:pt idx="409">
                  <c:v>512</c:v>
                </c:pt>
                <c:pt idx="410">
                  <c:v>512</c:v>
                </c:pt>
                <c:pt idx="411">
                  <c:v>256</c:v>
                </c:pt>
                <c:pt idx="412">
                  <c:v>64</c:v>
                </c:pt>
                <c:pt idx="413">
                  <c:v>64</c:v>
                </c:pt>
                <c:pt idx="414">
                  <c:v>512</c:v>
                </c:pt>
                <c:pt idx="415">
                  <c:v>128</c:v>
                </c:pt>
                <c:pt idx="416">
                  <c:v>512</c:v>
                </c:pt>
                <c:pt idx="417">
                  <c:v>64</c:v>
                </c:pt>
                <c:pt idx="418">
                  <c:v>512</c:v>
                </c:pt>
                <c:pt idx="419">
                  <c:v>256</c:v>
                </c:pt>
                <c:pt idx="420">
                  <c:v>64</c:v>
                </c:pt>
                <c:pt idx="421">
                  <c:v>256</c:v>
                </c:pt>
                <c:pt idx="422">
                  <c:v>128</c:v>
                </c:pt>
                <c:pt idx="423">
                  <c:v>256</c:v>
                </c:pt>
                <c:pt idx="424">
                  <c:v>512</c:v>
                </c:pt>
                <c:pt idx="425">
                  <c:v>512</c:v>
                </c:pt>
                <c:pt idx="426">
                  <c:v>128</c:v>
                </c:pt>
                <c:pt idx="427">
                  <c:v>512</c:v>
                </c:pt>
                <c:pt idx="428">
                  <c:v>64</c:v>
                </c:pt>
                <c:pt idx="429">
                  <c:v>128</c:v>
                </c:pt>
                <c:pt idx="430">
                  <c:v>512</c:v>
                </c:pt>
                <c:pt idx="431">
                  <c:v>128</c:v>
                </c:pt>
                <c:pt idx="432">
                  <c:v>64</c:v>
                </c:pt>
                <c:pt idx="433">
                  <c:v>64</c:v>
                </c:pt>
                <c:pt idx="434">
                  <c:v>64</c:v>
                </c:pt>
                <c:pt idx="435">
                  <c:v>512</c:v>
                </c:pt>
                <c:pt idx="436">
                  <c:v>512</c:v>
                </c:pt>
                <c:pt idx="437">
                  <c:v>512</c:v>
                </c:pt>
                <c:pt idx="438">
                  <c:v>64</c:v>
                </c:pt>
                <c:pt idx="439">
                  <c:v>64</c:v>
                </c:pt>
                <c:pt idx="440">
                  <c:v>512</c:v>
                </c:pt>
                <c:pt idx="441">
                  <c:v>512</c:v>
                </c:pt>
                <c:pt idx="442">
                  <c:v>256</c:v>
                </c:pt>
                <c:pt idx="443">
                  <c:v>512</c:v>
                </c:pt>
                <c:pt idx="444">
                  <c:v>128</c:v>
                </c:pt>
                <c:pt idx="445">
                  <c:v>256</c:v>
                </c:pt>
                <c:pt idx="446">
                  <c:v>256</c:v>
                </c:pt>
                <c:pt idx="447">
                  <c:v>256</c:v>
                </c:pt>
                <c:pt idx="448">
                  <c:v>128</c:v>
                </c:pt>
                <c:pt idx="449">
                  <c:v>64</c:v>
                </c:pt>
                <c:pt idx="450">
                  <c:v>64</c:v>
                </c:pt>
                <c:pt idx="451">
                  <c:v>64</c:v>
                </c:pt>
                <c:pt idx="452">
                  <c:v>512</c:v>
                </c:pt>
                <c:pt idx="453">
                  <c:v>64</c:v>
                </c:pt>
                <c:pt idx="454">
                  <c:v>512</c:v>
                </c:pt>
                <c:pt idx="455">
                  <c:v>256</c:v>
                </c:pt>
                <c:pt idx="456">
                  <c:v>128</c:v>
                </c:pt>
                <c:pt idx="457">
                  <c:v>128</c:v>
                </c:pt>
                <c:pt idx="458">
                  <c:v>512</c:v>
                </c:pt>
                <c:pt idx="459">
                  <c:v>512</c:v>
                </c:pt>
                <c:pt idx="460">
                  <c:v>256</c:v>
                </c:pt>
                <c:pt idx="461">
                  <c:v>64</c:v>
                </c:pt>
                <c:pt idx="462">
                  <c:v>64</c:v>
                </c:pt>
                <c:pt idx="463">
                  <c:v>128</c:v>
                </c:pt>
                <c:pt idx="464">
                  <c:v>256</c:v>
                </c:pt>
                <c:pt idx="465">
                  <c:v>512</c:v>
                </c:pt>
                <c:pt idx="466">
                  <c:v>512</c:v>
                </c:pt>
                <c:pt idx="467">
                  <c:v>256</c:v>
                </c:pt>
                <c:pt idx="468">
                  <c:v>128</c:v>
                </c:pt>
                <c:pt idx="469">
                  <c:v>64</c:v>
                </c:pt>
                <c:pt idx="470">
                  <c:v>128</c:v>
                </c:pt>
                <c:pt idx="471">
                  <c:v>64</c:v>
                </c:pt>
                <c:pt idx="472">
                  <c:v>64</c:v>
                </c:pt>
                <c:pt idx="473">
                  <c:v>128</c:v>
                </c:pt>
                <c:pt idx="474">
                  <c:v>64</c:v>
                </c:pt>
                <c:pt idx="475">
                  <c:v>256</c:v>
                </c:pt>
                <c:pt idx="476">
                  <c:v>128</c:v>
                </c:pt>
                <c:pt idx="477">
                  <c:v>128</c:v>
                </c:pt>
                <c:pt idx="478">
                  <c:v>128</c:v>
                </c:pt>
                <c:pt idx="479">
                  <c:v>512</c:v>
                </c:pt>
                <c:pt idx="480">
                  <c:v>256</c:v>
                </c:pt>
                <c:pt idx="481">
                  <c:v>128</c:v>
                </c:pt>
                <c:pt idx="482">
                  <c:v>512</c:v>
                </c:pt>
                <c:pt idx="483">
                  <c:v>128</c:v>
                </c:pt>
                <c:pt idx="484">
                  <c:v>64</c:v>
                </c:pt>
                <c:pt idx="485">
                  <c:v>512</c:v>
                </c:pt>
                <c:pt idx="486">
                  <c:v>64</c:v>
                </c:pt>
                <c:pt idx="487">
                  <c:v>512</c:v>
                </c:pt>
                <c:pt idx="488">
                  <c:v>256</c:v>
                </c:pt>
                <c:pt idx="489">
                  <c:v>128</c:v>
                </c:pt>
                <c:pt idx="490">
                  <c:v>512</c:v>
                </c:pt>
                <c:pt idx="491">
                  <c:v>512</c:v>
                </c:pt>
                <c:pt idx="492">
                  <c:v>128</c:v>
                </c:pt>
                <c:pt idx="493">
                  <c:v>512</c:v>
                </c:pt>
                <c:pt idx="494">
                  <c:v>64</c:v>
                </c:pt>
                <c:pt idx="495">
                  <c:v>128</c:v>
                </c:pt>
                <c:pt idx="496">
                  <c:v>128</c:v>
                </c:pt>
                <c:pt idx="497">
                  <c:v>512</c:v>
                </c:pt>
                <c:pt idx="498">
                  <c:v>128</c:v>
                </c:pt>
                <c:pt idx="499">
                  <c:v>128</c:v>
                </c:pt>
                <c:pt idx="500">
                  <c:v>128</c:v>
                </c:pt>
                <c:pt idx="501">
                  <c:v>256</c:v>
                </c:pt>
                <c:pt idx="502">
                  <c:v>128</c:v>
                </c:pt>
                <c:pt idx="503">
                  <c:v>256</c:v>
                </c:pt>
                <c:pt idx="504">
                  <c:v>256</c:v>
                </c:pt>
                <c:pt idx="505">
                  <c:v>512</c:v>
                </c:pt>
                <c:pt idx="506">
                  <c:v>256</c:v>
                </c:pt>
                <c:pt idx="507">
                  <c:v>256</c:v>
                </c:pt>
                <c:pt idx="508">
                  <c:v>256</c:v>
                </c:pt>
                <c:pt idx="509">
                  <c:v>256</c:v>
                </c:pt>
                <c:pt idx="510">
                  <c:v>256</c:v>
                </c:pt>
                <c:pt idx="511">
                  <c:v>64</c:v>
                </c:pt>
                <c:pt idx="512">
                  <c:v>128</c:v>
                </c:pt>
                <c:pt idx="513">
                  <c:v>256</c:v>
                </c:pt>
                <c:pt idx="514">
                  <c:v>512</c:v>
                </c:pt>
                <c:pt idx="515">
                  <c:v>256</c:v>
                </c:pt>
                <c:pt idx="516">
                  <c:v>128</c:v>
                </c:pt>
                <c:pt idx="517">
                  <c:v>64</c:v>
                </c:pt>
                <c:pt idx="518">
                  <c:v>64</c:v>
                </c:pt>
                <c:pt idx="519">
                  <c:v>128</c:v>
                </c:pt>
                <c:pt idx="520">
                  <c:v>128</c:v>
                </c:pt>
                <c:pt idx="521">
                  <c:v>64</c:v>
                </c:pt>
                <c:pt idx="522">
                  <c:v>128</c:v>
                </c:pt>
                <c:pt idx="523">
                  <c:v>512</c:v>
                </c:pt>
                <c:pt idx="524">
                  <c:v>64</c:v>
                </c:pt>
                <c:pt idx="525">
                  <c:v>512</c:v>
                </c:pt>
                <c:pt idx="526">
                  <c:v>128</c:v>
                </c:pt>
                <c:pt idx="527">
                  <c:v>128</c:v>
                </c:pt>
                <c:pt idx="528">
                  <c:v>128</c:v>
                </c:pt>
                <c:pt idx="529">
                  <c:v>512</c:v>
                </c:pt>
                <c:pt idx="530">
                  <c:v>64</c:v>
                </c:pt>
                <c:pt idx="531">
                  <c:v>64</c:v>
                </c:pt>
                <c:pt idx="532">
                  <c:v>64</c:v>
                </c:pt>
                <c:pt idx="533">
                  <c:v>256</c:v>
                </c:pt>
                <c:pt idx="534">
                  <c:v>64</c:v>
                </c:pt>
                <c:pt idx="535">
                  <c:v>64</c:v>
                </c:pt>
                <c:pt idx="536">
                  <c:v>128</c:v>
                </c:pt>
                <c:pt idx="537">
                  <c:v>128</c:v>
                </c:pt>
                <c:pt idx="538">
                  <c:v>512</c:v>
                </c:pt>
                <c:pt idx="539">
                  <c:v>64</c:v>
                </c:pt>
                <c:pt idx="540">
                  <c:v>256</c:v>
                </c:pt>
                <c:pt idx="541">
                  <c:v>256</c:v>
                </c:pt>
                <c:pt idx="542">
                  <c:v>64</c:v>
                </c:pt>
                <c:pt idx="543">
                  <c:v>512</c:v>
                </c:pt>
                <c:pt idx="544">
                  <c:v>256</c:v>
                </c:pt>
                <c:pt idx="545">
                  <c:v>64</c:v>
                </c:pt>
                <c:pt idx="546">
                  <c:v>128</c:v>
                </c:pt>
                <c:pt idx="547">
                  <c:v>512</c:v>
                </c:pt>
                <c:pt idx="548">
                  <c:v>128</c:v>
                </c:pt>
                <c:pt idx="549">
                  <c:v>512</c:v>
                </c:pt>
                <c:pt idx="550">
                  <c:v>128</c:v>
                </c:pt>
                <c:pt idx="551">
                  <c:v>128</c:v>
                </c:pt>
                <c:pt idx="552">
                  <c:v>64</c:v>
                </c:pt>
                <c:pt idx="553">
                  <c:v>256</c:v>
                </c:pt>
                <c:pt idx="554">
                  <c:v>128</c:v>
                </c:pt>
                <c:pt idx="555">
                  <c:v>64</c:v>
                </c:pt>
                <c:pt idx="556">
                  <c:v>128</c:v>
                </c:pt>
                <c:pt idx="557">
                  <c:v>64</c:v>
                </c:pt>
                <c:pt idx="558">
                  <c:v>256</c:v>
                </c:pt>
                <c:pt idx="559">
                  <c:v>512</c:v>
                </c:pt>
                <c:pt idx="560">
                  <c:v>512</c:v>
                </c:pt>
                <c:pt idx="561">
                  <c:v>512</c:v>
                </c:pt>
                <c:pt idx="562">
                  <c:v>64</c:v>
                </c:pt>
                <c:pt idx="563">
                  <c:v>64</c:v>
                </c:pt>
                <c:pt idx="564">
                  <c:v>64</c:v>
                </c:pt>
                <c:pt idx="565">
                  <c:v>512</c:v>
                </c:pt>
                <c:pt idx="566">
                  <c:v>64</c:v>
                </c:pt>
                <c:pt idx="567">
                  <c:v>256</c:v>
                </c:pt>
                <c:pt idx="568">
                  <c:v>64</c:v>
                </c:pt>
                <c:pt idx="569">
                  <c:v>64</c:v>
                </c:pt>
                <c:pt idx="570">
                  <c:v>64</c:v>
                </c:pt>
                <c:pt idx="571">
                  <c:v>512</c:v>
                </c:pt>
                <c:pt idx="572">
                  <c:v>256</c:v>
                </c:pt>
                <c:pt idx="573">
                  <c:v>256</c:v>
                </c:pt>
                <c:pt idx="574">
                  <c:v>64</c:v>
                </c:pt>
                <c:pt idx="575">
                  <c:v>64</c:v>
                </c:pt>
                <c:pt idx="576">
                  <c:v>512</c:v>
                </c:pt>
                <c:pt idx="577">
                  <c:v>512</c:v>
                </c:pt>
                <c:pt idx="578">
                  <c:v>512</c:v>
                </c:pt>
                <c:pt idx="579">
                  <c:v>512</c:v>
                </c:pt>
                <c:pt idx="580">
                  <c:v>128</c:v>
                </c:pt>
                <c:pt idx="581">
                  <c:v>512</c:v>
                </c:pt>
                <c:pt idx="582">
                  <c:v>256</c:v>
                </c:pt>
                <c:pt idx="583">
                  <c:v>128</c:v>
                </c:pt>
                <c:pt idx="584">
                  <c:v>128</c:v>
                </c:pt>
                <c:pt idx="585">
                  <c:v>512</c:v>
                </c:pt>
                <c:pt idx="586">
                  <c:v>512</c:v>
                </c:pt>
                <c:pt idx="587">
                  <c:v>128</c:v>
                </c:pt>
                <c:pt idx="588">
                  <c:v>64</c:v>
                </c:pt>
                <c:pt idx="589">
                  <c:v>512</c:v>
                </c:pt>
                <c:pt idx="590">
                  <c:v>128</c:v>
                </c:pt>
                <c:pt idx="591">
                  <c:v>512</c:v>
                </c:pt>
                <c:pt idx="592">
                  <c:v>512</c:v>
                </c:pt>
                <c:pt idx="593">
                  <c:v>512</c:v>
                </c:pt>
                <c:pt idx="594">
                  <c:v>64</c:v>
                </c:pt>
                <c:pt idx="595">
                  <c:v>512</c:v>
                </c:pt>
                <c:pt idx="596">
                  <c:v>64</c:v>
                </c:pt>
                <c:pt idx="597">
                  <c:v>256</c:v>
                </c:pt>
                <c:pt idx="598">
                  <c:v>256</c:v>
                </c:pt>
                <c:pt idx="599">
                  <c:v>64</c:v>
                </c:pt>
                <c:pt idx="600">
                  <c:v>64</c:v>
                </c:pt>
                <c:pt idx="601">
                  <c:v>64</c:v>
                </c:pt>
                <c:pt idx="602">
                  <c:v>64</c:v>
                </c:pt>
                <c:pt idx="603">
                  <c:v>256</c:v>
                </c:pt>
                <c:pt idx="604">
                  <c:v>64</c:v>
                </c:pt>
                <c:pt idx="605">
                  <c:v>512</c:v>
                </c:pt>
                <c:pt idx="606">
                  <c:v>128</c:v>
                </c:pt>
                <c:pt idx="607">
                  <c:v>512</c:v>
                </c:pt>
                <c:pt idx="608">
                  <c:v>128</c:v>
                </c:pt>
                <c:pt idx="609">
                  <c:v>128</c:v>
                </c:pt>
                <c:pt idx="610">
                  <c:v>64</c:v>
                </c:pt>
                <c:pt idx="611">
                  <c:v>64</c:v>
                </c:pt>
                <c:pt idx="612">
                  <c:v>256</c:v>
                </c:pt>
                <c:pt idx="613">
                  <c:v>64</c:v>
                </c:pt>
                <c:pt idx="614">
                  <c:v>256</c:v>
                </c:pt>
                <c:pt idx="615">
                  <c:v>256</c:v>
                </c:pt>
                <c:pt idx="616">
                  <c:v>64</c:v>
                </c:pt>
                <c:pt idx="617">
                  <c:v>128</c:v>
                </c:pt>
                <c:pt idx="618">
                  <c:v>512</c:v>
                </c:pt>
                <c:pt idx="619">
                  <c:v>256</c:v>
                </c:pt>
                <c:pt idx="620">
                  <c:v>128</c:v>
                </c:pt>
                <c:pt idx="621">
                  <c:v>512</c:v>
                </c:pt>
                <c:pt idx="622">
                  <c:v>64</c:v>
                </c:pt>
                <c:pt idx="623">
                  <c:v>256</c:v>
                </c:pt>
                <c:pt idx="624">
                  <c:v>512</c:v>
                </c:pt>
                <c:pt idx="625">
                  <c:v>128</c:v>
                </c:pt>
                <c:pt idx="626">
                  <c:v>128</c:v>
                </c:pt>
                <c:pt idx="627">
                  <c:v>256</c:v>
                </c:pt>
                <c:pt idx="628">
                  <c:v>64</c:v>
                </c:pt>
                <c:pt idx="629">
                  <c:v>64</c:v>
                </c:pt>
                <c:pt idx="630">
                  <c:v>512</c:v>
                </c:pt>
                <c:pt idx="631">
                  <c:v>256</c:v>
                </c:pt>
                <c:pt idx="632">
                  <c:v>64</c:v>
                </c:pt>
                <c:pt idx="633">
                  <c:v>128</c:v>
                </c:pt>
                <c:pt idx="634">
                  <c:v>128</c:v>
                </c:pt>
                <c:pt idx="635">
                  <c:v>64</c:v>
                </c:pt>
                <c:pt idx="636">
                  <c:v>256</c:v>
                </c:pt>
                <c:pt idx="637">
                  <c:v>256</c:v>
                </c:pt>
                <c:pt idx="638">
                  <c:v>64</c:v>
                </c:pt>
                <c:pt idx="639">
                  <c:v>256</c:v>
                </c:pt>
                <c:pt idx="640">
                  <c:v>128</c:v>
                </c:pt>
                <c:pt idx="641">
                  <c:v>128</c:v>
                </c:pt>
                <c:pt idx="642">
                  <c:v>256</c:v>
                </c:pt>
                <c:pt idx="643">
                  <c:v>512</c:v>
                </c:pt>
                <c:pt idx="644">
                  <c:v>512</c:v>
                </c:pt>
                <c:pt idx="645">
                  <c:v>128</c:v>
                </c:pt>
                <c:pt idx="646">
                  <c:v>256</c:v>
                </c:pt>
                <c:pt idx="647">
                  <c:v>512</c:v>
                </c:pt>
                <c:pt idx="648">
                  <c:v>256</c:v>
                </c:pt>
                <c:pt idx="649">
                  <c:v>256</c:v>
                </c:pt>
                <c:pt idx="650">
                  <c:v>256</c:v>
                </c:pt>
                <c:pt idx="651">
                  <c:v>128</c:v>
                </c:pt>
                <c:pt idx="652">
                  <c:v>256</c:v>
                </c:pt>
                <c:pt idx="653">
                  <c:v>64</c:v>
                </c:pt>
                <c:pt idx="654">
                  <c:v>512</c:v>
                </c:pt>
                <c:pt idx="655">
                  <c:v>256</c:v>
                </c:pt>
                <c:pt idx="656">
                  <c:v>512</c:v>
                </c:pt>
                <c:pt idx="657">
                  <c:v>256</c:v>
                </c:pt>
                <c:pt idx="658">
                  <c:v>256</c:v>
                </c:pt>
                <c:pt idx="659">
                  <c:v>512</c:v>
                </c:pt>
                <c:pt idx="660">
                  <c:v>64</c:v>
                </c:pt>
                <c:pt idx="661">
                  <c:v>256</c:v>
                </c:pt>
                <c:pt idx="662">
                  <c:v>512</c:v>
                </c:pt>
                <c:pt idx="663">
                  <c:v>128</c:v>
                </c:pt>
                <c:pt idx="664">
                  <c:v>512</c:v>
                </c:pt>
                <c:pt idx="665">
                  <c:v>256</c:v>
                </c:pt>
                <c:pt idx="666">
                  <c:v>256</c:v>
                </c:pt>
                <c:pt idx="667">
                  <c:v>64</c:v>
                </c:pt>
                <c:pt idx="668">
                  <c:v>128</c:v>
                </c:pt>
                <c:pt idx="669">
                  <c:v>64</c:v>
                </c:pt>
                <c:pt idx="670">
                  <c:v>64</c:v>
                </c:pt>
                <c:pt idx="671">
                  <c:v>256</c:v>
                </c:pt>
                <c:pt idx="672">
                  <c:v>128</c:v>
                </c:pt>
                <c:pt idx="673">
                  <c:v>64</c:v>
                </c:pt>
                <c:pt idx="674">
                  <c:v>256</c:v>
                </c:pt>
                <c:pt idx="675">
                  <c:v>128</c:v>
                </c:pt>
                <c:pt idx="676">
                  <c:v>256</c:v>
                </c:pt>
                <c:pt idx="677">
                  <c:v>512</c:v>
                </c:pt>
                <c:pt idx="678">
                  <c:v>512</c:v>
                </c:pt>
                <c:pt idx="679">
                  <c:v>64</c:v>
                </c:pt>
                <c:pt idx="680">
                  <c:v>256</c:v>
                </c:pt>
                <c:pt idx="681">
                  <c:v>128</c:v>
                </c:pt>
                <c:pt idx="682">
                  <c:v>128</c:v>
                </c:pt>
                <c:pt idx="683">
                  <c:v>512</c:v>
                </c:pt>
                <c:pt idx="684">
                  <c:v>128</c:v>
                </c:pt>
                <c:pt idx="685">
                  <c:v>128</c:v>
                </c:pt>
                <c:pt idx="686">
                  <c:v>256</c:v>
                </c:pt>
                <c:pt idx="687">
                  <c:v>128</c:v>
                </c:pt>
                <c:pt idx="688">
                  <c:v>128</c:v>
                </c:pt>
                <c:pt idx="689">
                  <c:v>256</c:v>
                </c:pt>
                <c:pt idx="690">
                  <c:v>128</c:v>
                </c:pt>
                <c:pt idx="691">
                  <c:v>256</c:v>
                </c:pt>
                <c:pt idx="692">
                  <c:v>256</c:v>
                </c:pt>
                <c:pt idx="693">
                  <c:v>256</c:v>
                </c:pt>
                <c:pt idx="694">
                  <c:v>128</c:v>
                </c:pt>
                <c:pt idx="695">
                  <c:v>128</c:v>
                </c:pt>
                <c:pt idx="696">
                  <c:v>512</c:v>
                </c:pt>
                <c:pt idx="697">
                  <c:v>128</c:v>
                </c:pt>
                <c:pt idx="698">
                  <c:v>128</c:v>
                </c:pt>
                <c:pt idx="699">
                  <c:v>256</c:v>
                </c:pt>
                <c:pt idx="700">
                  <c:v>64</c:v>
                </c:pt>
                <c:pt idx="701">
                  <c:v>128</c:v>
                </c:pt>
                <c:pt idx="702">
                  <c:v>128</c:v>
                </c:pt>
                <c:pt idx="703">
                  <c:v>128</c:v>
                </c:pt>
                <c:pt idx="704">
                  <c:v>128</c:v>
                </c:pt>
                <c:pt idx="705">
                  <c:v>64</c:v>
                </c:pt>
                <c:pt idx="706">
                  <c:v>512</c:v>
                </c:pt>
                <c:pt idx="707">
                  <c:v>128</c:v>
                </c:pt>
                <c:pt idx="708">
                  <c:v>512</c:v>
                </c:pt>
                <c:pt idx="709">
                  <c:v>64</c:v>
                </c:pt>
                <c:pt idx="710">
                  <c:v>256</c:v>
                </c:pt>
                <c:pt idx="711">
                  <c:v>512</c:v>
                </c:pt>
                <c:pt idx="712">
                  <c:v>64</c:v>
                </c:pt>
                <c:pt idx="713">
                  <c:v>128</c:v>
                </c:pt>
                <c:pt idx="714">
                  <c:v>128</c:v>
                </c:pt>
                <c:pt idx="715">
                  <c:v>512</c:v>
                </c:pt>
                <c:pt idx="716">
                  <c:v>64</c:v>
                </c:pt>
                <c:pt idx="717">
                  <c:v>128</c:v>
                </c:pt>
                <c:pt idx="718">
                  <c:v>128</c:v>
                </c:pt>
                <c:pt idx="719">
                  <c:v>128</c:v>
                </c:pt>
                <c:pt idx="720">
                  <c:v>256</c:v>
                </c:pt>
                <c:pt idx="721">
                  <c:v>128</c:v>
                </c:pt>
                <c:pt idx="722">
                  <c:v>512</c:v>
                </c:pt>
                <c:pt idx="723">
                  <c:v>512</c:v>
                </c:pt>
                <c:pt idx="724">
                  <c:v>512</c:v>
                </c:pt>
                <c:pt idx="725">
                  <c:v>128</c:v>
                </c:pt>
                <c:pt idx="726">
                  <c:v>128</c:v>
                </c:pt>
                <c:pt idx="727">
                  <c:v>256</c:v>
                </c:pt>
                <c:pt idx="728">
                  <c:v>256</c:v>
                </c:pt>
                <c:pt idx="729">
                  <c:v>128</c:v>
                </c:pt>
                <c:pt idx="730">
                  <c:v>512</c:v>
                </c:pt>
                <c:pt idx="731">
                  <c:v>128</c:v>
                </c:pt>
                <c:pt idx="732">
                  <c:v>64</c:v>
                </c:pt>
                <c:pt idx="733">
                  <c:v>64</c:v>
                </c:pt>
                <c:pt idx="734">
                  <c:v>512</c:v>
                </c:pt>
                <c:pt idx="735">
                  <c:v>128</c:v>
                </c:pt>
                <c:pt idx="736">
                  <c:v>256</c:v>
                </c:pt>
                <c:pt idx="737">
                  <c:v>256</c:v>
                </c:pt>
                <c:pt idx="738">
                  <c:v>512</c:v>
                </c:pt>
                <c:pt idx="739">
                  <c:v>512</c:v>
                </c:pt>
                <c:pt idx="740">
                  <c:v>512</c:v>
                </c:pt>
                <c:pt idx="741">
                  <c:v>512</c:v>
                </c:pt>
                <c:pt idx="742">
                  <c:v>128</c:v>
                </c:pt>
                <c:pt idx="743">
                  <c:v>128</c:v>
                </c:pt>
                <c:pt idx="744">
                  <c:v>64</c:v>
                </c:pt>
                <c:pt idx="745">
                  <c:v>512</c:v>
                </c:pt>
                <c:pt idx="746">
                  <c:v>256</c:v>
                </c:pt>
                <c:pt idx="747">
                  <c:v>64</c:v>
                </c:pt>
                <c:pt idx="748">
                  <c:v>256</c:v>
                </c:pt>
                <c:pt idx="749">
                  <c:v>512</c:v>
                </c:pt>
                <c:pt idx="750">
                  <c:v>512</c:v>
                </c:pt>
                <c:pt idx="751">
                  <c:v>512</c:v>
                </c:pt>
                <c:pt idx="752">
                  <c:v>256</c:v>
                </c:pt>
                <c:pt idx="753">
                  <c:v>256</c:v>
                </c:pt>
                <c:pt idx="754">
                  <c:v>128</c:v>
                </c:pt>
                <c:pt idx="755">
                  <c:v>128</c:v>
                </c:pt>
                <c:pt idx="756">
                  <c:v>64</c:v>
                </c:pt>
                <c:pt idx="757">
                  <c:v>256</c:v>
                </c:pt>
                <c:pt idx="758">
                  <c:v>512</c:v>
                </c:pt>
                <c:pt idx="759">
                  <c:v>256</c:v>
                </c:pt>
                <c:pt idx="760">
                  <c:v>128</c:v>
                </c:pt>
                <c:pt idx="761">
                  <c:v>64</c:v>
                </c:pt>
                <c:pt idx="762">
                  <c:v>64</c:v>
                </c:pt>
                <c:pt idx="763">
                  <c:v>64</c:v>
                </c:pt>
                <c:pt idx="764">
                  <c:v>64</c:v>
                </c:pt>
                <c:pt idx="765">
                  <c:v>128</c:v>
                </c:pt>
                <c:pt idx="766">
                  <c:v>64</c:v>
                </c:pt>
                <c:pt idx="767">
                  <c:v>512</c:v>
                </c:pt>
                <c:pt idx="768">
                  <c:v>256</c:v>
                </c:pt>
                <c:pt idx="769">
                  <c:v>64</c:v>
                </c:pt>
                <c:pt idx="770">
                  <c:v>512</c:v>
                </c:pt>
                <c:pt idx="771">
                  <c:v>128</c:v>
                </c:pt>
                <c:pt idx="772">
                  <c:v>64</c:v>
                </c:pt>
                <c:pt idx="773">
                  <c:v>512</c:v>
                </c:pt>
                <c:pt idx="774">
                  <c:v>64</c:v>
                </c:pt>
                <c:pt idx="775">
                  <c:v>512</c:v>
                </c:pt>
                <c:pt idx="776">
                  <c:v>512</c:v>
                </c:pt>
                <c:pt idx="777">
                  <c:v>512</c:v>
                </c:pt>
                <c:pt idx="778">
                  <c:v>64</c:v>
                </c:pt>
                <c:pt idx="779">
                  <c:v>256</c:v>
                </c:pt>
                <c:pt idx="780">
                  <c:v>256</c:v>
                </c:pt>
                <c:pt idx="781">
                  <c:v>64</c:v>
                </c:pt>
                <c:pt idx="782">
                  <c:v>256</c:v>
                </c:pt>
                <c:pt idx="783">
                  <c:v>512</c:v>
                </c:pt>
                <c:pt idx="784">
                  <c:v>128</c:v>
                </c:pt>
                <c:pt idx="785">
                  <c:v>256</c:v>
                </c:pt>
                <c:pt idx="786">
                  <c:v>512</c:v>
                </c:pt>
                <c:pt idx="787">
                  <c:v>64</c:v>
                </c:pt>
                <c:pt idx="788">
                  <c:v>512</c:v>
                </c:pt>
                <c:pt idx="789">
                  <c:v>512</c:v>
                </c:pt>
                <c:pt idx="790">
                  <c:v>256</c:v>
                </c:pt>
                <c:pt idx="791">
                  <c:v>128</c:v>
                </c:pt>
                <c:pt idx="792">
                  <c:v>64</c:v>
                </c:pt>
                <c:pt idx="793">
                  <c:v>64</c:v>
                </c:pt>
                <c:pt idx="794">
                  <c:v>64</c:v>
                </c:pt>
                <c:pt idx="795">
                  <c:v>256</c:v>
                </c:pt>
                <c:pt idx="796">
                  <c:v>256</c:v>
                </c:pt>
                <c:pt idx="797">
                  <c:v>64</c:v>
                </c:pt>
                <c:pt idx="798">
                  <c:v>256</c:v>
                </c:pt>
                <c:pt idx="799">
                  <c:v>512</c:v>
                </c:pt>
                <c:pt idx="800">
                  <c:v>128</c:v>
                </c:pt>
                <c:pt idx="801">
                  <c:v>512</c:v>
                </c:pt>
                <c:pt idx="802">
                  <c:v>128</c:v>
                </c:pt>
                <c:pt idx="803">
                  <c:v>128</c:v>
                </c:pt>
                <c:pt idx="804">
                  <c:v>128</c:v>
                </c:pt>
                <c:pt idx="805">
                  <c:v>128</c:v>
                </c:pt>
                <c:pt idx="806">
                  <c:v>512</c:v>
                </c:pt>
                <c:pt idx="807">
                  <c:v>128</c:v>
                </c:pt>
                <c:pt idx="808">
                  <c:v>128</c:v>
                </c:pt>
                <c:pt idx="809">
                  <c:v>512</c:v>
                </c:pt>
                <c:pt idx="810">
                  <c:v>128</c:v>
                </c:pt>
                <c:pt idx="811">
                  <c:v>512</c:v>
                </c:pt>
                <c:pt idx="812">
                  <c:v>512</c:v>
                </c:pt>
                <c:pt idx="813">
                  <c:v>256</c:v>
                </c:pt>
                <c:pt idx="814">
                  <c:v>128</c:v>
                </c:pt>
                <c:pt idx="815">
                  <c:v>512</c:v>
                </c:pt>
                <c:pt idx="816">
                  <c:v>64</c:v>
                </c:pt>
                <c:pt idx="817">
                  <c:v>64</c:v>
                </c:pt>
                <c:pt idx="818">
                  <c:v>512</c:v>
                </c:pt>
                <c:pt idx="819">
                  <c:v>128</c:v>
                </c:pt>
                <c:pt idx="820">
                  <c:v>256</c:v>
                </c:pt>
                <c:pt idx="821">
                  <c:v>128</c:v>
                </c:pt>
                <c:pt idx="822">
                  <c:v>256</c:v>
                </c:pt>
                <c:pt idx="823">
                  <c:v>512</c:v>
                </c:pt>
                <c:pt idx="824">
                  <c:v>128</c:v>
                </c:pt>
                <c:pt idx="825">
                  <c:v>256</c:v>
                </c:pt>
                <c:pt idx="826">
                  <c:v>128</c:v>
                </c:pt>
                <c:pt idx="827">
                  <c:v>256</c:v>
                </c:pt>
                <c:pt idx="828">
                  <c:v>64</c:v>
                </c:pt>
                <c:pt idx="829">
                  <c:v>128</c:v>
                </c:pt>
                <c:pt idx="830">
                  <c:v>512</c:v>
                </c:pt>
                <c:pt idx="831">
                  <c:v>128</c:v>
                </c:pt>
                <c:pt idx="832">
                  <c:v>512</c:v>
                </c:pt>
                <c:pt idx="833">
                  <c:v>256</c:v>
                </c:pt>
                <c:pt idx="834">
                  <c:v>64</c:v>
                </c:pt>
                <c:pt idx="835">
                  <c:v>128</c:v>
                </c:pt>
                <c:pt idx="836">
                  <c:v>64</c:v>
                </c:pt>
                <c:pt idx="837">
                  <c:v>256</c:v>
                </c:pt>
                <c:pt idx="838">
                  <c:v>128</c:v>
                </c:pt>
                <c:pt idx="839">
                  <c:v>512</c:v>
                </c:pt>
                <c:pt idx="840">
                  <c:v>512</c:v>
                </c:pt>
                <c:pt idx="841">
                  <c:v>256</c:v>
                </c:pt>
                <c:pt idx="842">
                  <c:v>128</c:v>
                </c:pt>
                <c:pt idx="843">
                  <c:v>256</c:v>
                </c:pt>
                <c:pt idx="844">
                  <c:v>64</c:v>
                </c:pt>
                <c:pt idx="845">
                  <c:v>256</c:v>
                </c:pt>
                <c:pt idx="846">
                  <c:v>512</c:v>
                </c:pt>
                <c:pt idx="847">
                  <c:v>128</c:v>
                </c:pt>
                <c:pt idx="848">
                  <c:v>512</c:v>
                </c:pt>
                <c:pt idx="849">
                  <c:v>128</c:v>
                </c:pt>
                <c:pt idx="850">
                  <c:v>256</c:v>
                </c:pt>
                <c:pt idx="851">
                  <c:v>128</c:v>
                </c:pt>
                <c:pt idx="852">
                  <c:v>64</c:v>
                </c:pt>
                <c:pt idx="853">
                  <c:v>256</c:v>
                </c:pt>
                <c:pt idx="854">
                  <c:v>256</c:v>
                </c:pt>
                <c:pt idx="855">
                  <c:v>64</c:v>
                </c:pt>
                <c:pt idx="856">
                  <c:v>512</c:v>
                </c:pt>
                <c:pt idx="857">
                  <c:v>512</c:v>
                </c:pt>
                <c:pt idx="858">
                  <c:v>64</c:v>
                </c:pt>
                <c:pt idx="859">
                  <c:v>256</c:v>
                </c:pt>
                <c:pt idx="860">
                  <c:v>128</c:v>
                </c:pt>
                <c:pt idx="861">
                  <c:v>256</c:v>
                </c:pt>
                <c:pt idx="862">
                  <c:v>128</c:v>
                </c:pt>
                <c:pt idx="863">
                  <c:v>128</c:v>
                </c:pt>
                <c:pt idx="864">
                  <c:v>128</c:v>
                </c:pt>
                <c:pt idx="865">
                  <c:v>64</c:v>
                </c:pt>
                <c:pt idx="866">
                  <c:v>256</c:v>
                </c:pt>
                <c:pt idx="867">
                  <c:v>256</c:v>
                </c:pt>
                <c:pt idx="868">
                  <c:v>128</c:v>
                </c:pt>
                <c:pt idx="869">
                  <c:v>128</c:v>
                </c:pt>
                <c:pt idx="870">
                  <c:v>64</c:v>
                </c:pt>
                <c:pt idx="871">
                  <c:v>64</c:v>
                </c:pt>
                <c:pt idx="872">
                  <c:v>512</c:v>
                </c:pt>
                <c:pt idx="873">
                  <c:v>256</c:v>
                </c:pt>
                <c:pt idx="874">
                  <c:v>512</c:v>
                </c:pt>
                <c:pt idx="875">
                  <c:v>64</c:v>
                </c:pt>
                <c:pt idx="876">
                  <c:v>256</c:v>
                </c:pt>
                <c:pt idx="877">
                  <c:v>64</c:v>
                </c:pt>
                <c:pt idx="878">
                  <c:v>512</c:v>
                </c:pt>
                <c:pt idx="879">
                  <c:v>128</c:v>
                </c:pt>
                <c:pt idx="880">
                  <c:v>64</c:v>
                </c:pt>
                <c:pt idx="881">
                  <c:v>512</c:v>
                </c:pt>
                <c:pt idx="882">
                  <c:v>64</c:v>
                </c:pt>
                <c:pt idx="883">
                  <c:v>64</c:v>
                </c:pt>
                <c:pt idx="884">
                  <c:v>512</c:v>
                </c:pt>
                <c:pt idx="885">
                  <c:v>128</c:v>
                </c:pt>
                <c:pt idx="886">
                  <c:v>256</c:v>
                </c:pt>
                <c:pt idx="887">
                  <c:v>256</c:v>
                </c:pt>
                <c:pt idx="888">
                  <c:v>64</c:v>
                </c:pt>
                <c:pt idx="889">
                  <c:v>128</c:v>
                </c:pt>
                <c:pt idx="890">
                  <c:v>64</c:v>
                </c:pt>
                <c:pt idx="891">
                  <c:v>64</c:v>
                </c:pt>
                <c:pt idx="892">
                  <c:v>256</c:v>
                </c:pt>
                <c:pt idx="893">
                  <c:v>128</c:v>
                </c:pt>
                <c:pt idx="894">
                  <c:v>512</c:v>
                </c:pt>
                <c:pt idx="895">
                  <c:v>64</c:v>
                </c:pt>
                <c:pt idx="896">
                  <c:v>256</c:v>
                </c:pt>
                <c:pt idx="897">
                  <c:v>64</c:v>
                </c:pt>
                <c:pt idx="898">
                  <c:v>128</c:v>
                </c:pt>
                <c:pt idx="899">
                  <c:v>128</c:v>
                </c:pt>
                <c:pt idx="900">
                  <c:v>64</c:v>
                </c:pt>
                <c:pt idx="901">
                  <c:v>512</c:v>
                </c:pt>
                <c:pt idx="902">
                  <c:v>128</c:v>
                </c:pt>
                <c:pt idx="903">
                  <c:v>256</c:v>
                </c:pt>
                <c:pt idx="904">
                  <c:v>256</c:v>
                </c:pt>
                <c:pt idx="905">
                  <c:v>128</c:v>
                </c:pt>
                <c:pt idx="906">
                  <c:v>256</c:v>
                </c:pt>
                <c:pt idx="907">
                  <c:v>512</c:v>
                </c:pt>
                <c:pt idx="908">
                  <c:v>256</c:v>
                </c:pt>
                <c:pt idx="909">
                  <c:v>512</c:v>
                </c:pt>
                <c:pt idx="910">
                  <c:v>512</c:v>
                </c:pt>
                <c:pt idx="911">
                  <c:v>256</c:v>
                </c:pt>
                <c:pt idx="912">
                  <c:v>512</c:v>
                </c:pt>
                <c:pt idx="913">
                  <c:v>64</c:v>
                </c:pt>
                <c:pt idx="914">
                  <c:v>256</c:v>
                </c:pt>
                <c:pt idx="915">
                  <c:v>128</c:v>
                </c:pt>
                <c:pt idx="916">
                  <c:v>512</c:v>
                </c:pt>
                <c:pt idx="917">
                  <c:v>64</c:v>
                </c:pt>
                <c:pt idx="918">
                  <c:v>64</c:v>
                </c:pt>
                <c:pt idx="919">
                  <c:v>128</c:v>
                </c:pt>
                <c:pt idx="920">
                  <c:v>512</c:v>
                </c:pt>
                <c:pt idx="921">
                  <c:v>128</c:v>
                </c:pt>
                <c:pt idx="922">
                  <c:v>512</c:v>
                </c:pt>
                <c:pt idx="923">
                  <c:v>64</c:v>
                </c:pt>
                <c:pt idx="924">
                  <c:v>128</c:v>
                </c:pt>
                <c:pt idx="925">
                  <c:v>256</c:v>
                </c:pt>
                <c:pt idx="926">
                  <c:v>256</c:v>
                </c:pt>
                <c:pt idx="927">
                  <c:v>256</c:v>
                </c:pt>
                <c:pt idx="928">
                  <c:v>512</c:v>
                </c:pt>
                <c:pt idx="929">
                  <c:v>64</c:v>
                </c:pt>
                <c:pt idx="930">
                  <c:v>256</c:v>
                </c:pt>
                <c:pt idx="931">
                  <c:v>256</c:v>
                </c:pt>
                <c:pt idx="932">
                  <c:v>64</c:v>
                </c:pt>
                <c:pt idx="933">
                  <c:v>64</c:v>
                </c:pt>
                <c:pt idx="934">
                  <c:v>256</c:v>
                </c:pt>
                <c:pt idx="935">
                  <c:v>64</c:v>
                </c:pt>
                <c:pt idx="936">
                  <c:v>64</c:v>
                </c:pt>
                <c:pt idx="937">
                  <c:v>512</c:v>
                </c:pt>
                <c:pt idx="938">
                  <c:v>256</c:v>
                </c:pt>
                <c:pt idx="939">
                  <c:v>512</c:v>
                </c:pt>
                <c:pt idx="940">
                  <c:v>512</c:v>
                </c:pt>
                <c:pt idx="941">
                  <c:v>64</c:v>
                </c:pt>
                <c:pt idx="942">
                  <c:v>512</c:v>
                </c:pt>
                <c:pt idx="943">
                  <c:v>64</c:v>
                </c:pt>
                <c:pt idx="944">
                  <c:v>64</c:v>
                </c:pt>
                <c:pt idx="945">
                  <c:v>128</c:v>
                </c:pt>
                <c:pt idx="946">
                  <c:v>512</c:v>
                </c:pt>
                <c:pt idx="947">
                  <c:v>64</c:v>
                </c:pt>
                <c:pt idx="948">
                  <c:v>512</c:v>
                </c:pt>
                <c:pt idx="949">
                  <c:v>256</c:v>
                </c:pt>
                <c:pt idx="950">
                  <c:v>512</c:v>
                </c:pt>
                <c:pt idx="951">
                  <c:v>64</c:v>
                </c:pt>
                <c:pt idx="952">
                  <c:v>128</c:v>
                </c:pt>
                <c:pt idx="953">
                  <c:v>256</c:v>
                </c:pt>
                <c:pt idx="954">
                  <c:v>512</c:v>
                </c:pt>
                <c:pt idx="955">
                  <c:v>64</c:v>
                </c:pt>
                <c:pt idx="956">
                  <c:v>256</c:v>
                </c:pt>
                <c:pt idx="957">
                  <c:v>256</c:v>
                </c:pt>
                <c:pt idx="958">
                  <c:v>128</c:v>
                </c:pt>
                <c:pt idx="959">
                  <c:v>512</c:v>
                </c:pt>
                <c:pt idx="960">
                  <c:v>256</c:v>
                </c:pt>
                <c:pt idx="961">
                  <c:v>128</c:v>
                </c:pt>
                <c:pt idx="962">
                  <c:v>512</c:v>
                </c:pt>
                <c:pt idx="963">
                  <c:v>512</c:v>
                </c:pt>
                <c:pt idx="964">
                  <c:v>128</c:v>
                </c:pt>
                <c:pt idx="965">
                  <c:v>128</c:v>
                </c:pt>
                <c:pt idx="966">
                  <c:v>512</c:v>
                </c:pt>
                <c:pt idx="967">
                  <c:v>64</c:v>
                </c:pt>
                <c:pt idx="968">
                  <c:v>64</c:v>
                </c:pt>
                <c:pt idx="969">
                  <c:v>128</c:v>
                </c:pt>
                <c:pt idx="970">
                  <c:v>256</c:v>
                </c:pt>
                <c:pt idx="971">
                  <c:v>64</c:v>
                </c:pt>
                <c:pt idx="972">
                  <c:v>128</c:v>
                </c:pt>
                <c:pt idx="973">
                  <c:v>512</c:v>
                </c:pt>
                <c:pt idx="974">
                  <c:v>512</c:v>
                </c:pt>
                <c:pt idx="975">
                  <c:v>64</c:v>
                </c:pt>
                <c:pt idx="976">
                  <c:v>64</c:v>
                </c:pt>
                <c:pt idx="977">
                  <c:v>64</c:v>
                </c:pt>
                <c:pt idx="978">
                  <c:v>256</c:v>
                </c:pt>
                <c:pt idx="979">
                  <c:v>64</c:v>
                </c:pt>
                <c:pt idx="980">
                  <c:v>128</c:v>
                </c:pt>
                <c:pt idx="981">
                  <c:v>512</c:v>
                </c:pt>
                <c:pt idx="982">
                  <c:v>128</c:v>
                </c:pt>
                <c:pt idx="983">
                  <c:v>64</c:v>
                </c:pt>
                <c:pt idx="984">
                  <c:v>256</c:v>
                </c:pt>
                <c:pt idx="985">
                  <c:v>128</c:v>
                </c:pt>
                <c:pt idx="986">
                  <c:v>256</c:v>
                </c:pt>
                <c:pt idx="987">
                  <c:v>512</c:v>
                </c:pt>
                <c:pt idx="988">
                  <c:v>64</c:v>
                </c:pt>
                <c:pt idx="989">
                  <c:v>128</c:v>
                </c:pt>
                <c:pt idx="990">
                  <c:v>64</c:v>
                </c:pt>
                <c:pt idx="991">
                  <c:v>128</c:v>
                </c:pt>
                <c:pt idx="992">
                  <c:v>512</c:v>
                </c:pt>
                <c:pt idx="993">
                  <c:v>512</c:v>
                </c:pt>
                <c:pt idx="994">
                  <c:v>512</c:v>
                </c:pt>
                <c:pt idx="995">
                  <c:v>512</c:v>
                </c:pt>
                <c:pt idx="996">
                  <c:v>128</c:v>
                </c:pt>
                <c:pt idx="997">
                  <c:v>64</c:v>
                </c:pt>
                <c:pt idx="998">
                  <c:v>256</c:v>
                </c:pt>
                <c:pt idx="999">
                  <c:v>64</c:v>
                </c:pt>
              </c:numCache>
            </c:numRef>
          </c:xVal>
          <c:yVal>
            <c:numRef>
              <c:f>Raw_Data!$R$2:$R$1001</c:f>
              <c:numCache>
                <c:formatCode>General</c:formatCode>
                <c:ptCount val="1000"/>
                <c:pt idx="0">
                  <c:v>428</c:v>
                </c:pt>
                <c:pt idx="1">
                  <c:v>589</c:v>
                </c:pt>
                <c:pt idx="2">
                  <c:v>408</c:v>
                </c:pt>
                <c:pt idx="3">
                  <c:v>449</c:v>
                </c:pt>
                <c:pt idx="4">
                  <c:v>745</c:v>
                </c:pt>
                <c:pt idx="5">
                  <c:v>428</c:v>
                </c:pt>
                <c:pt idx="6">
                  <c:v>603</c:v>
                </c:pt>
                <c:pt idx="7">
                  <c:v>604</c:v>
                </c:pt>
                <c:pt idx="8">
                  <c:v>267</c:v>
                </c:pt>
                <c:pt idx="9">
                  <c:v>557</c:v>
                </c:pt>
                <c:pt idx="10">
                  <c:v>539</c:v>
                </c:pt>
                <c:pt idx="11">
                  <c:v>466</c:v>
                </c:pt>
                <c:pt idx="12">
                  <c:v>368</c:v>
                </c:pt>
                <c:pt idx="13">
                  <c:v>567</c:v>
                </c:pt>
                <c:pt idx="14">
                  <c:v>644</c:v>
                </c:pt>
                <c:pt idx="15">
                  <c:v>470</c:v>
                </c:pt>
                <c:pt idx="16">
                  <c:v>257</c:v>
                </c:pt>
                <c:pt idx="17">
                  <c:v>539</c:v>
                </c:pt>
                <c:pt idx="18">
                  <c:v>489</c:v>
                </c:pt>
                <c:pt idx="19">
                  <c:v>439</c:v>
                </c:pt>
                <c:pt idx="20">
                  <c:v>764</c:v>
                </c:pt>
                <c:pt idx="21">
                  <c:v>415</c:v>
                </c:pt>
                <c:pt idx="22">
                  <c:v>789</c:v>
                </c:pt>
                <c:pt idx="23">
                  <c:v>639</c:v>
                </c:pt>
                <c:pt idx="24">
                  <c:v>789</c:v>
                </c:pt>
                <c:pt idx="25">
                  <c:v>289</c:v>
                </c:pt>
                <c:pt idx="26">
                  <c:v>289</c:v>
                </c:pt>
                <c:pt idx="27">
                  <c:v>487</c:v>
                </c:pt>
                <c:pt idx="28">
                  <c:v>427</c:v>
                </c:pt>
                <c:pt idx="29">
                  <c:v>560</c:v>
                </c:pt>
                <c:pt idx="30">
                  <c:v>663</c:v>
                </c:pt>
                <c:pt idx="31">
                  <c:v>749</c:v>
                </c:pt>
                <c:pt idx="32">
                  <c:v>493</c:v>
                </c:pt>
                <c:pt idx="33">
                  <c:v>338</c:v>
                </c:pt>
                <c:pt idx="34">
                  <c:v>440</c:v>
                </c:pt>
                <c:pt idx="35">
                  <c:v>824</c:v>
                </c:pt>
                <c:pt idx="36">
                  <c:v>468</c:v>
                </c:pt>
                <c:pt idx="37">
                  <c:v>352</c:v>
                </c:pt>
                <c:pt idx="38">
                  <c:v>561</c:v>
                </c:pt>
                <c:pt idx="39">
                  <c:v>466</c:v>
                </c:pt>
                <c:pt idx="40">
                  <c:v>323</c:v>
                </c:pt>
                <c:pt idx="41">
                  <c:v>822</c:v>
                </c:pt>
                <c:pt idx="42">
                  <c:v>451</c:v>
                </c:pt>
                <c:pt idx="43">
                  <c:v>382</c:v>
                </c:pt>
                <c:pt idx="44">
                  <c:v>282</c:v>
                </c:pt>
                <c:pt idx="45">
                  <c:v>629</c:v>
                </c:pt>
                <c:pt idx="46">
                  <c:v>454</c:v>
                </c:pt>
                <c:pt idx="47">
                  <c:v>389</c:v>
                </c:pt>
                <c:pt idx="48">
                  <c:v>539</c:v>
                </c:pt>
                <c:pt idx="49">
                  <c:v>433</c:v>
                </c:pt>
                <c:pt idx="50">
                  <c:v>447</c:v>
                </c:pt>
                <c:pt idx="51">
                  <c:v>433</c:v>
                </c:pt>
                <c:pt idx="52">
                  <c:v>252</c:v>
                </c:pt>
                <c:pt idx="53">
                  <c:v>576</c:v>
                </c:pt>
                <c:pt idx="54">
                  <c:v>521</c:v>
                </c:pt>
                <c:pt idx="55">
                  <c:v>492</c:v>
                </c:pt>
                <c:pt idx="56">
                  <c:v>750</c:v>
                </c:pt>
                <c:pt idx="57">
                  <c:v>289</c:v>
                </c:pt>
                <c:pt idx="58">
                  <c:v>389</c:v>
                </c:pt>
                <c:pt idx="59">
                  <c:v>497</c:v>
                </c:pt>
                <c:pt idx="60">
                  <c:v>529</c:v>
                </c:pt>
                <c:pt idx="61">
                  <c:v>909</c:v>
                </c:pt>
                <c:pt idx="62">
                  <c:v>462</c:v>
                </c:pt>
                <c:pt idx="63">
                  <c:v>305</c:v>
                </c:pt>
                <c:pt idx="64">
                  <c:v>575</c:v>
                </c:pt>
                <c:pt idx="65">
                  <c:v>262</c:v>
                </c:pt>
                <c:pt idx="66">
                  <c:v>431</c:v>
                </c:pt>
                <c:pt idx="67">
                  <c:v>560</c:v>
                </c:pt>
                <c:pt idx="68">
                  <c:v>620</c:v>
                </c:pt>
                <c:pt idx="69">
                  <c:v>533</c:v>
                </c:pt>
                <c:pt idx="70">
                  <c:v>547</c:v>
                </c:pt>
                <c:pt idx="71">
                  <c:v>476</c:v>
                </c:pt>
                <c:pt idx="72">
                  <c:v>640</c:v>
                </c:pt>
                <c:pt idx="73">
                  <c:v>559</c:v>
                </c:pt>
                <c:pt idx="74">
                  <c:v>591</c:v>
                </c:pt>
                <c:pt idx="75">
                  <c:v>452</c:v>
                </c:pt>
                <c:pt idx="76">
                  <c:v>336</c:v>
                </c:pt>
                <c:pt idx="77">
                  <c:v>490</c:v>
                </c:pt>
                <c:pt idx="78">
                  <c:v>377</c:v>
                </c:pt>
                <c:pt idx="79">
                  <c:v>885</c:v>
                </c:pt>
                <c:pt idx="80">
                  <c:v>425</c:v>
                </c:pt>
                <c:pt idx="81">
                  <c:v>789</c:v>
                </c:pt>
                <c:pt idx="82">
                  <c:v>457</c:v>
                </c:pt>
                <c:pt idx="83">
                  <c:v>513</c:v>
                </c:pt>
                <c:pt idx="84">
                  <c:v>427</c:v>
                </c:pt>
                <c:pt idx="85">
                  <c:v>495</c:v>
                </c:pt>
                <c:pt idx="86">
                  <c:v>724</c:v>
                </c:pt>
                <c:pt idx="87">
                  <c:v>451</c:v>
                </c:pt>
                <c:pt idx="88">
                  <c:v>439</c:v>
                </c:pt>
                <c:pt idx="89">
                  <c:v>316</c:v>
                </c:pt>
                <c:pt idx="90">
                  <c:v>467</c:v>
                </c:pt>
                <c:pt idx="91">
                  <c:v>582</c:v>
                </c:pt>
                <c:pt idx="92">
                  <c:v>272</c:v>
                </c:pt>
                <c:pt idx="93">
                  <c:v>513</c:v>
                </c:pt>
                <c:pt idx="94">
                  <c:v>488</c:v>
                </c:pt>
                <c:pt idx="95">
                  <c:v>689</c:v>
                </c:pt>
                <c:pt idx="96">
                  <c:v>371</c:v>
                </c:pt>
                <c:pt idx="97">
                  <c:v>366</c:v>
                </c:pt>
                <c:pt idx="98">
                  <c:v>448</c:v>
                </c:pt>
                <c:pt idx="99">
                  <c:v>451</c:v>
                </c:pt>
                <c:pt idx="100">
                  <c:v>449</c:v>
                </c:pt>
                <c:pt idx="101">
                  <c:v>589</c:v>
                </c:pt>
                <c:pt idx="102">
                  <c:v>689</c:v>
                </c:pt>
                <c:pt idx="103">
                  <c:v>485</c:v>
                </c:pt>
                <c:pt idx="104">
                  <c:v>339</c:v>
                </c:pt>
                <c:pt idx="105">
                  <c:v>457</c:v>
                </c:pt>
                <c:pt idx="106">
                  <c:v>430</c:v>
                </c:pt>
                <c:pt idx="107">
                  <c:v>490</c:v>
                </c:pt>
                <c:pt idx="108">
                  <c:v>660</c:v>
                </c:pt>
                <c:pt idx="109">
                  <c:v>388</c:v>
                </c:pt>
                <c:pt idx="110">
                  <c:v>577</c:v>
                </c:pt>
                <c:pt idx="111">
                  <c:v>345</c:v>
                </c:pt>
                <c:pt idx="112">
                  <c:v>289</c:v>
                </c:pt>
                <c:pt idx="113">
                  <c:v>557</c:v>
                </c:pt>
                <c:pt idx="114">
                  <c:v>500</c:v>
                </c:pt>
                <c:pt idx="115">
                  <c:v>437</c:v>
                </c:pt>
                <c:pt idx="116">
                  <c:v>395</c:v>
                </c:pt>
                <c:pt idx="117">
                  <c:v>484</c:v>
                </c:pt>
                <c:pt idx="118">
                  <c:v>443</c:v>
                </c:pt>
                <c:pt idx="119">
                  <c:v>732</c:v>
                </c:pt>
                <c:pt idx="120">
                  <c:v>443</c:v>
                </c:pt>
                <c:pt idx="121">
                  <c:v>460</c:v>
                </c:pt>
                <c:pt idx="122">
                  <c:v>456</c:v>
                </c:pt>
                <c:pt idx="123">
                  <c:v>689</c:v>
                </c:pt>
                <c:pt idx="124">
                  <c:v>337</c:v>
                </c:pt>
                <c:pt idx="125">
                  <c:v>371</c:v>
                </c:pt>
                <c:pt idx="126">
                  <c:v>312</c:v>
                </c:pt>
                <c:pt idx="127">
                  <c:v>424</c:v>
                </c:pt>
                <c:pt idx="128">
                  <c:v>757</c:v>
                </c:pt>
                <c:pt idx="129">
                  <c:v>463</c:v>
                </c:pt>
                <c:pt idx="130">
                  <c:v>412</c:v>
                </c:pt>
                <c:pt idx="131">
                  <c:v>486</c:v>
                </c:pt>
                <c:pt idx="132">
                  <c:v>568</c:v>
                </c:pt>
                <c:pt idx="133">
                  <c:v>338</c:v>
                </c:pt>
                <c:pt idx="134">
                  <c:v>296</c:v>
                </c:pt>
                <c:pt idx="135">
                  <c:v>568</c:v>
                </c:pt>
                <c:pt idx="136">
                  <c:v>379</c:v>
                </c:pt>
                <c:pt idx="137">
                  <c:v>464</c:v>
                </c:pt>
                <c:pt idx="138">
                  <c:v>389</c:v>
                </c:pt>
                <c:pt idx="139">
                  <c:v>606</c:v>
                </c:pt>
                <c:pt idx="140">
                  <c:v>538</c:v>
                </c:pt>
                <c:pt idx="141">
                  <c:v>408</c:v>
                </c:pt>
                <c:pt idx="142">
                  <c:v>589</c:v>
                </c:pt>
                <c:pt idx="143">
                  <c:v>489</c:v>
                </c:pt>
                <c:pt idx="144">
                  <c:v>656</c:v>
                </c:pt>
                <c:pt idx="145">
                  <c:v>362</c:v>
                </c:pt>
                <c:pt idx="146">
                  <c:v>313</c:v>
                </c:pt>
                <c:pt idx="147">
                  <c:v>352</c:v>
                </c:pt>
                <c:pt idx="148">
                  <c:v>664</c:v>
                </c:pt>
                <c:pt idx="149">
                  <c:v>515</c:v>
                </c:pt>
                <c:pt idx="150">
                  <c:v>730</c:v>
                </c:pt>
                <c:pt idx="151">
                  <c:v>389</c:v>
                </c:pt>
                <c:pt idx="152">
                  <c:v>446</c:v>
                </c:pt>
                <c:pt idx="153">
                  <c:v>310</c:v>
                </c:pt>
                <c:pt idx="154">
                  <c:v>655</c:v>
                </c:pt>
                <c:pt idx="155">
                  <c:v>693</c:v>
                </c:pt>
                <c:pt idx="156">
                  <c:v>336</c:v>
                </c:pt>
                <c:pt idx="157">
                  <c:v>389</c:v>
                </c:pt>
                <c:pt idx="158">
                  <c:v>617</c:v>
                </c:pt>
                <c:pt idx="159">
                  <c:v>492</c:v>
                </c:pt>
                <c:pt idx="160">
                  <c:v>457</c:v>
                </c:pt>
                <c:pt idx="161">
                  <c:v>506</c:v>
                </c:pt>
                <c:pt idx="162">
                  <c:v>549</c:v>
                </c:pt>
                <c:pt idx="163">
                  <c:v>759</c:v>
                </c:pt>
                <c:pt idx="164">
                  <c:v>530</c:v>
                </c:pt>
                <c:pt idx="165">
                  <c:v>342</c:v>
                </c:pt>
                <c:pt idx="166">
                  <c:v>400</c:v>
                </c:pt>
                <c:pt idx="167">
                  <c:v>251</c:v>
                </c:pt>
                <c:pt idx="168">
                  <c:v>513</c:v>
                </c:pt>
                <c:pt idx="169">
                  <c:v>330</c:v>
                </c:pt>
                <c:pt idx="170">
                  <c:v>951</c:v>
                </c:pt>
                <c:pt idx="171">
                  <c:v>506</c:v>
                </c:pt>
                <c:pt idx="172">
                  <c:v>507</c:v>
                </c:pt>
                <c:pt idx="173">
                  <c:v>728</c:v>
                </c:pt>
                <c:pt idx="174">
                  <c:v>450</c:v>
                </c:pt>
                <c:pt idx="175">
                  <c:v>542</c:v>
                </c:pt>
                <c:pt idx="176">
                  <c:v>483</c:v>
                </c:pt>
                <c:pt idx="177">
                  <c:v>561</c:v>
                </c:pt>
                <c:pt idx="178">
                  <c:v>388</c:v>
                </c:pt>
                <c:pt idx="179">
                  <c:v>453</c:v>
                </c:pt>
                <c:pt idx="180">
                  <c:v>525</c:v>
                </c:pt>
                <c:pt idx="181">
                  <c:v>903</c:v>
                </c:pt>
                <c:pt idx="182">
                  <c:v>589</c:v>
                </c:pt>
                <c:pt idx="183">
                  <c:v>567</c:v>
                </c:pt>
                <c:pt idx="184">
                  <c:v>830</c:v>
                </c:pt>
                <c:pt idx="185">
                  <c:v>364</c:v>
                </c:pt>
                <c:pt idx="186">
                  <c:v>481</c:v>
                </c:pt>
                <c:pt idx="187">
                  <c:v>475</c:v>
                </c:pt>
                <c:pt idx="188">
                  <c:v>448</c:v>
                </c:pt>
                <c:pt idx="189">
                  <c:v>565</c:v>
                </c:pt>
                <c:pt idx="190">
                  <c:v>889</c:v>
                </c:pt>
                <c:pt idx="191">
                  <c:v>260</c:v>
                </c:pt>
                <c:pt idx="192">
                  <c:v>543</c:v>
                </c:pt>
                <c:pt idx="193">
                  <c:v>635</c:v>
                </c:pt>
                <c:pt idx="194">
                  <c:v>398</c:v>
                </c:pt>
                <c:pt idx="195">
                  <c:v>589</c:v>
                </c:pt>
                <c:pt idx="196">
                  <c:v>474</c:v>
                </c:pt>
                <c:pt idx="197">
                  <c:v>589</c:v>
                </c:pt>
                <c:pt idx="198">
                  <c:v>502</c:v>
                </c:pt>
                <c:pt idx="199">
                  <c:v>346</c:v>
                </c:pt>
                <c:pt idx="200">
                  <c:v>752</c:v>
                </c:pt>
                <c:pt idx="201">
                  <c:v>349</c:v>
                </c:pt>
                <c:pt idx="202">
                  <c:v>401</c:v>
                </c:pt>
                <c:pt idx="203">
                  <c:v>628</c:v>
                </c:pt>
                <c:pt idx="204">
                  <c:v>379</c:v>
                </c:pt>
                <c:pt idx="205">
                  <c:v>346</c:v>
                </c:pt>
                <c:pt idx="206">
                  <c:v>437</c:v>
                </c:pt>
                <c:pt idx="207">
                  <c:v>323</c:v>
                </c:pt>
                <c:pt idx="208">
                  <c:v>539</c:v>
                </c:pt>
                <c:pt idx="209">
                  <c:v>489</c:v>
                </c:pt>
                <c:pt idx="210">
                  <c:v>416</c:v>
                </c:pt>
                <c:pt idx="211">
                  <c:v>482</c:v>
                </c:pt>
                <c:pt idx="212">
                  <c:v>447</c:v>
                </c:pt>
                <c:pt idx="213">
                  <c:v>522</c:v>
                </c:pt>
                <c:pt idx="214">
                  <c:v>304</c:v>
                </c:pt>
                <c:pt idx="215">
                  <c:v>539</c:v>
                </c:pt>
                <c:pt idx="216">
                  <c:v>430</c:v>
                </c:pt>
                <c:pt idx="217">
                  <c:v>573</c:v>
                </c:pt>
                <c:pt idx="218">
                  <c:v>565</c:v>
                </c:pt>
                <c:pt idx="219">
                  <c:v>475</c:v>
                </c:pt>
                <c:pt idx="220">
                  <c:v>670</c:v>
                </c:pt>
                <c:pt idx="221">
                  <c:v>289</c:v>
                </c:pt>
                <c:pt idx="222">
                  <c:v>477</c:v>
                </c:pt>
                <c:pt idx="223">
                  <c:v>775</c:v>
                </c:pt>
                <c:pt idx="224">
                  <c:v>290</c:v>
                </c:pt>
                <c:pt idx="225">
                  <c:v>304</c:v>
                </c:pt>
                <c:pt idx="226">
                  <c:v>461</c:v>
                </c:pt>
                <c:pt idx="227">
                  <c:v>589</c:v>
                </c:pt>
                <c:pt idx="228">
                  <c:v>465</c:v>
                </c:pt>
                <c:pt idx="229">
                  <c:v>727</c:v>
                </c:pt>
                <c:pt idx="230">
                  <c:v>540</c:v>
                </c:pt>
                <c:pt idx="231">
                  <c:v>413</c:v>
                </c:pt>
                <c:pt idx="232">
                  <c:v>383</c:v>
                </c:pt>
                <c:pt idx="233">
                  <c:v>289</c:v>
                </c:pt>
                <c:pt idx="234">
                  <c:v>654</c:v>
                </c:pt>
                <c:pt idx="235">
                  <c:v>583</c:v>
                </c:pt>
                <c:pt idx="236">
                  <c:v>485</c:v>
                </c:pt>
                <c:pt idx="237">
                  <c:v>429</c:v>
                </c:pt>
                <c:pt idx="238">
                  <c:v>698</c:v>
                </c:pt>
                <c:pt idx="239">
                  <c:v>401</c:v>
                </c:pt>
                <c:pt idx="240">
                  <c:v>448</c:v>
                </c:pt>
                <c:pt idx="241">
                  <c:v>489</c:v>
                </c:pt>
                <c:pt idx="242">
                  <c:v>440</c:v>
                </c:pt>
                <c:pt idx="243">
                  <c:v>504</c:v>
                </c:pt>
                <c:pt idx="244">
                  <c:v>539</c:v>
                </c:pt>
                <c:pt idx="245">
                  <c:v>589</c:v>
                </c:pt>
                <c:pt idx="246">
                  <c:v>586</c:v>
                </c:pt>
                <c:pt idx="247">
                  <c:v>489</c:v>
                </c:pt>
                <c:pt idx="248">
                  <c:v>559</c:v>
                </c:pt>
                <c:pt idx="249">
                  <c:v>526</c:v>
                </c:pt>
                <c:pt idx="250">
                  <c:v>438</c:v>
                </c:pt>
                <c:pt idx="251">
                  <c:v>486</c:v>
                </c:pt>
                <c:pt idx="252">
                  <c:v>657</c:v>
                </c:pt>
                <c:pt idx="253">
                  <c:v>589</c:v>
                </c:pt>
                <c:pt idx="254">
                  <c:v>568</c:v>
                </c:pt>
                <c:pt idx="255">
                  <c:v>520</c:v>
                </c:pt>
                <c:pt idx="256">
                  <c:v>309</c:v>
                </c:pt>
                <c:pt idx="257">
                  <c:v>439</c:v>
                </c:pt>
                <c:pt idx="258">
                  <c:v>490</c:v>
                </c:pt>
                <c:pt idx="259">
                  <c:v>536</c:v>
                </c:pt>
                <c:pt idx="260">
                  <c:v>388</c:v>
                </c:pt>
                <c:pt idx="261">
                  <c:v>512</c:v>
                </c:pt>
                <c:pt idx="262">
                  <c:v>417</c:v>
                </c:pt>
                <c:pt idx="263">
                  <c:v>581</c:v>
                </c:pt>
                <c:pt idx="264">
                  <c:v>457</c:v>
                </c:pt>
                <c:pt idx="265">
                  <c:v>589</c:v>
                </c:pt>
                <c:pt idx="266">
                  <c:v>414</c:v>
                </c:pt>
                <c:pt idx="267">
                  <c:v>497</c:v>
                </c:pt>
                <c:pt idx="268">
                  <c:v>394</c:v>
                </c:pt>
                <c:pt idx="269">
                  <c:v>654</c:v>
                </c:pt>
                <c:pt idx="270">
                  <c:v>726</c:v>
                </c:pt>
                <c:pt idx="271">
                  <c:v>316</c:v>
                </c:pt>
                <c:pt idx="272">
                  <c:v>649</c:v>
                </c:pt>
                <c:pt idx="273">
                  <c:v>397</c:v>
                </c:pt>
                <c:pt idx="274">
                  <c:v>255</c:v>
                </c:pt>
                <c:pt idx="275">
                  <c:v>696</c:v>
                </c:pt>
                <c:pt idx="276">
                  <c:v>512</c:v>
                </c:pt>
                <c:pt idx="277">
                  <c:v>238</c:v>
                </c:pt>
                <c:pt idx="278">
                  <c:v>430</c:v>
                </c:pt>
                <c:pt idx="279">
                  <c:v>361</c:v>
                </c:pt>
                <c:pt idx="280">
                  <c:v>527</c:v>
                </c:pt>
                <c:pt idx="281">
                  <c:v>302</c:v>
                </c:pt>
                <c:pt idx="282">
                  <c:v>697</c:v>
                </c:pt>
                <c:pt idx="283">
                  <c:v>443</c:v>
                </c:pt>
                <c:pt idx="284">
                  <c:v>513</c:v>
                </c:pt>
                <c:pt idx="285">
                  <c:v>687</c:v>
                </c:pt>
                <c:pt idx="286">
                  <c:v>829</c:v>
                </c:pt>
                <c:pt idx="287">
                  <c:v>547</c:v>
                </c:pt>
                <c:pt idx="288">
                  <c:v>457</c:v>
                </c:pt>
                <c:pt idx="289">
                  <c:v>467</c:v>
                </c:pt>
                <c:pt idx="290">
                  <c:v>433</c:v>
                </c:pt>
                <c:pt idx="291">
                  <c:v>589</c:v>
                </c:pt>
                <c:pt idx="292">
                  <c:v>552</c:v>
                </c:pt>
                <c:pt idx="293">
                  <c:v>514</c:v>
                </c:pt>
                <c:pt idx="294">
                  <c:v>586</c:v>
                </c:pt>
                <c:pt idx="295">
                  <c:v>405</c:v>
                </c:pt>
                <c:pt idx="296">
                  <c:v>361</c:v>
                </c:pt>
                <c:pt idx="297">
                  <c:v>485</c:v>
                </c:pt>
                <c:pt idx="298">
                  <c:v>576</c:v>
                </c:pt>
                <c:pt idx="299">
                  <c:v>257</c:v>
                </c:pt>
                <c:pt idx="300">
                  <c:v>524</c:v>
                </c:pt>
                <c:pt idx="301">
                  <c:v>589</c:v>
                </c:pt>
                <c:pt idx="302">
                  <c:v>590</c:v>
                </c:pt>
                <c:pt idx="303">
                  <c:v>453</c:v>
                </c:pt>
                <c:pt idx="304">
                  <c:v>545</c:v>
                </c:pt>
                <c:pt idx="305">
                  <c:v>398</c:v>
                </c:pt>
                <c:pt idx="306">
                  <c:v>617</c:v>
                </c:pt>
                <c:pt idx="307">
                  <c:v>663</c:v>
                </c:pt>
                <c:pt idx="308">
                  <c:v>348</c:v>
                </c:pt>
                <c:pt idx="309">
                  <c:v>297</c:v>
                </c:pt>
                <c:pt idx="310">
                  <c:v>404</c:v>
                </c:pt>
                <c:pt idx="311">
                  <c:v>409</c:v>
                </c:pt>
                <c:pt idx="312">
                  <c:v>720</c:v>
                </c:pt>
                <c:pt idx="313">
                  <c:v>868</c:v>
                </c:pt>
                <c:pt idx="314">
                  <c:v>357</c:v>
                </c:pt>
                <c:pt idx="315">
                  <c:v>460</c:v>
                </c:pt>
                <c:pt idx="316">
                  <c:v>916</c:v>
                </c:pt>
                <c:pt idx="317">
                  <c:v>665</c:v>
                </c:pt>
                <c:pt idx="318">
                  <c:v>476</c:v>
                </c:pt>
                <c:pt idx="319">
                  <c:v>439</c:v>
                </c:pt>
                <c:pt idx="320">
                  <c:v>531</c:v>
                </c:pt>
                <c:pt idx="321">
                  <c:v>267</c:v>
                </c:pt>
                <c:pt idx="322">
                  <c:v>412</c:v>
                </c:pt>
                <c:pt idx="323">
                  <c:v>263</c:v>
                </c:pt>
                <c:pt idx="324">
                  <c:v>788</c:v>
                </c:pt>
                <c:pt idx="325">
                  <c:v>568</c:v>
                </c:pt>
                <c:pt idx="326">
                  <c:v>589</c:v>
                </c:pt>
                <c:pt idx="327">
                  <c:v>389</c:v>
                </c:pt>
                <c:pt idx="328">
                  <c:v>362</c:v>
                </c:pt>
                <c:pt idx="329">
                  <c:v>327</c:v>
                </c:pt>
                <c:pt idx="330">
                  <c:v>514</c:v>
                </c:pt>
                <c:pt idx="331">
                  <c:v>455</c:v>
                </c:pt>
                <c:pt idx="332">
                  <c:v>391</c:v>
                </c:pt>
                <c:pt idx="333">
                  <c:v>292</c:v>
                </c:pt>
                <c:pt idx="334">
                  <c:v>701</c:v>
                </c:pt>
                <c:pt idx="335">
                  <c:v>751</c:v>
                </c:pt>
                <c:pt idx="336">
                  <c:v>479</c:v>
                </c:pt>
                <c:pt idx="337">
                  <c:v>537</c:v>
                </c:pt>
                <c:pt idx="338">
                  <c:v>558</c:v>
                </c:pt>
                <c:pt idx="339">
                  <c:v>385</c:v>
                </c:pt>
                <c:pt idx="340">
                  <c:v>518</c:v>
                </c:pt>
                <c:pt idx="341">
                  <c:v>412</c:v>
                </c:pt>
                <c:pt idx="342">
                  <c:v>624</c:v>
                </c:pt>
                <c:pt idx="343">
                  <c:v>789</c:v>
                </c:pt>
                <c:pt idx="344">
                  <c:v>477</c:v>
                </c:pt>
                <c:pt idx="345">
                  <c:v>789</c:v>
                </c:pt>
                <c:pt idx="346">
                  <c:v>513</c:v>
                </c:pt>
                <c:pt idx="347">
                  <c:v>348</c:v>
                </c:pt>
                <c:pt idx="348">
                  <c:v>563</c:v>
                </c:pt>
                <c:pt idx="349">
                  <c:v>501</c:v>
                </c:pt>
                <c:pt idx="350">
                  <c:v>689</c:v>
                </c:pt>
                <c:pt idx="351">
                  <c:v>589</c:v>
                </c:pt>
                <c:pt idx="352">
                  <c:v>642</c:v>
                </c:pt>
                <c:pt idx="353">
                  <c:v>456</c:v>
                </c:pt>
                <c:pt idx="354">
                  <c:v>527</c:v>
                </c:pt>
                <c:pt idx="355">
                  <c:v>660</c:v>
                </c:pt>
                <c:pt idx="356">
                  <c:v>574</c:v>
                </c:pt>
                <c:pt idx="357">
                  <c:v>546</c:v>
                </c:pt>
                <c:pt idx="358">
                  <c:v>747</c:v>
                </c:pt>
                <c:pt idx="359">
                  <c:v>449</c:v>
                </c:pt>
                <c:pt idx="360">
                  <c:v>525</c:v>
                </c:pt>
                <c:pt idx="361">
                  <c:v>565</c:v>
                </c:pt>
                <c:pt idx="362">
                  <c:v>410</c:v>
                </c:pt>
                <c:pt idx="363">
                  <c:v>491</c:v>
                </c:pt>
                <c:pt idx="364">
                  <c:v>403</c:v>
                </c:pt>
                <c:pt idx="365">
                  <c:v>645</c:v>
                </c:pt>
                <c:pt idx="366">
                  <c:v>549</c:v>
                </c:pt>
                <c:pt idx="367">
                  <c:v>262</c:v>
                </c:pt>
                <c:pt idx="368">
                  <c:v>448</c:v>
                </c:pt>
                <c:pt idx="369">
                  <c:v>383</c:v>
                </c:pt>
                <c:pt idx="370">
                  <c:v>689</c:v>
                </c:pt>
                <c:pt idx="371">
                  <c:v>619</c:v>
                </c:pt>
                <c:pt idx="372">
                  <c:v>640</c:v>
                </c:pt>
                <c:pt idx="373">
                  <c:v>481</c:v>
                </c:pt>
                <c:pt idx="374">
                  <c:v>641</c:v>
                </c:pt>
                <c:pt idx="375">
                  <c:v>589</c:v>
                </c:pt>
                <c:pt idx="376">
                  <c:v>789</c:v>
                </c:pt>
                <c:pt idx="377">
                  <c:v>550</c:v>
                </c:pt>
                <c:pt idx="378">
                  <c:v>794</c:v>
                </c:pt>
                <c:pt idx="379">
                  <c:v>589</c:v>
                </c:pt>
                <c:pt idx="380">
                  <c:v>589</c:v>
                </c:pt>
                <c:pt idx="381">
                  <c:v>483</c:v>
                </c:pt>
                <c:pt idx="382">
                  <c:v>264</c:v>
                </c:pt>
                <c:pt idx="383">
                  <c:v>469</c:v>
                </c:pt>
                <c:pt idx="384">
                  <c:v>289</c:v>
                </c:pt>
                <c:pt idx="385">
                  <c:v>491</c:v>
                </c:pt>
                <c:pt idx="386">
                  <c:v>786</c:v>
                </c:pt>
                <c:pt idx="387">
                  <c:v>274</c:v>
                </c:pt>
                <c:pt idx="388">
                  <c:v>489</c:v>
                </c:pt>
                <c:pt idx="389">
                  <c:v>489</c:v>
                </c:pt>
                <c:pt idx="390">
                  <c:v>855</c:v>
                </c:pt>
                <c:pt idx="391">
                  <c:v>449</c:v>
                </c:pt>
                <c:pt idx="392">
                  <c:v>552</c:v>
                </c:pt>
                <c:pt idx="393">
                  <c:v>452</c:v>
                </c:pt>
                <c:pt idx="394">
                  <c:v>285</c:v>
                </c:pt>
                <c:pt idx="395">
                  <c:v>536</c:v>
                </c:pt>
                <c:pt idx="396">
                  <c:v>573</c:v>
                </c:pt>
                <c:pt idx="397">
                  <c:v>829</c:v>
                </c:pt>
                <c:pt idx="398">
                  <c:v>536</c:v>
                </c:pt>
                <c:pt idx="399">
                  <c:v>637</c:v>
                </c:pt>
                <c:pt idx="400">
                  <c:v>363</c:v>
                </c:pt>
                <c:pt idx="401">
                  <c:v>623</c:v>
                </c:pt>
                <c:pt idx="402">
                  <c:v>460</c:v>
                </c:pt>
                <c:pt idx="403">
                  <c:v>677</c:v>
                </c:pt>
                <c:pt idx="404">
                  <c:v>648</c:v>
                </c:pt>
                <c:pt idx="405">
                  <c:v>547</c:v>
                </c:pt>
                <c:pt idx="406">
                  <c:v>565</c:v>
                </c:pt>
                <c:pt idx="407">
                  <c:v>480</c:v>
                </c:pt>
                <c:pt idx="408">
                  <c:v>545</c:v>
                </c:pt>
                <c:pt idx="409">
                  <c:v>494</c:v>
                </c:pt>
                <c:pt idx="410">
                  <c:v>589</c:v>
                </c:pt>
                <c:pt idx="411">
                  <c:v>637</c:v>
                </c:pt>
                <c:pt idx="412">
                  <c:v>300</c:v>
                </c:pt>
                <c:pt idx="413">
                  <c:v>441</c:v>
                </c:pt>
                <c:pt idx="414">
                  <c:v>589</c:v>
                </c:pt>
                <c:pt idx="415">
                  <c:v>489</c:v>
                </c:pt>
                <c:pt idx="416">
                  <c:v>483</c:v>
                </c:pt>
                <c:pt idx="417">
                  <c:v>489</c:v>
                </c:pt>
                <c:pt idx="418">
                  <c:v>689</c:v>
                </c:pt>
                <c:pt idx="419">
                  <c:v>386</c:v>
                </c:pt>
                <c:pt idx="420">
                  <c:v>389</c:v>
                </c:pt>
                <c:pt idx="421">
                  <c:v>497</c:v>
                </c:pt>
                <c:pt idx="422">
                  <c:v>372</c:v>
                </c:pt>
                <c:pt idx="423">
                  <c:v>329</c:v>
                </c:pt>
                <c:pt idx="424">
                  <c:v>431</c:v>
                </c:pt>
                <c:pt idx="425">
                  <c:v>589</c:v>
                </c:pt>
                <c:pt idx="426">
                  <c:v>577</c:v>
                </c:pt>
                <c:pt idx="427">
                  <c:v>597</c:v>
                </c:pt>
                <c:pt idx="428">
                  <c:v>684</c:v>
                </c:pt>
                <c:pt idx="429">
                  <c:v>589</c:v>
                </c:pt>
                <c:pt idx="430">
                  <c:v>889</c:v>
                </c:pt>
                <c:pt idx="431">
                  <c:v>529</c:v>
                </c:pt>
                <c:pt idx="432">
                  <c:v>434</c:v>
                </c:pt>
                <c:pt idx="433">
                  <c:v>640</c:v>
                </c:pt>
                <c:pt idx="434">
                  <c:v>519</c:v>
                </c:pt>
                <c:pt idx="435">
                  <c:v>537</c:v>
                </c:pt>
                <c:pt idx="436">
                  <c:v>511</c:v>
                </c:pt>
                <c:pt idx="437">
                  <c:v>668</c:v>
                </c:pt>
                <c:pt idx="438">
                  <c:v>432</c:v>
                </c:pt>
                <c:pt idx="439">
                  <c:v>429</c:v>
                </c:pt>
                <c:pt idx="440">
                  <c:v>289</c:v>
                </c:pt>
                <c:pt idx="441">
                  <c:v>489</c:v>
                </c:pt>
                <c:pt idx="442">
                  <c:v>562</c:v>
                </c:pt>
                <c:pt idx="443">
                  <c:v>309</c:v>
                </c:pt>
                <c:pt idx="444">
                  <c:v>439</c:v>
                </c:pt>
                <c:pt idx="445">
                  <c:v>426</c:v>
                </c:pt>
                <c:pt idx="446">
                  <c:v>522</c:v>
                </c:pt>
                <c:pt idx="447">
                  <c:v>576</c:v>
                </c:pt>
                <c:pt idx="448">
                  <c:v>434</c:v>
                </c:pt>
                <c:pt idx="449">
                  <c:v>536</c:v>
                </c:pt>
                <c:pt idx="450">
                  <c:v>474</c:v>
                </c:pt>
                <c:pt idx="451">
                  <c:v>401</c:v>
                </c:pt>
                <c:pt idx="452">
                  <c:v>473</c:v>
                </c:pt>
                <c:pt idx="453">
                  <c:v>561</c:v>
                </c:pt>
                <c:pt idx="454">
                  <c:v>439</c:v>
                </c:pt>
                <c:pt idx="455">
                  <c:v>600</c:v>
                </c:pt>
                <c:pt idx="456">
                  <c:v>568</c:v>
                </c:pt>
                <c:pt idx="457">
                  <c:v>669</c:v>
                </c:pt>
                <c:pt idx="458">
                  <c:v>589</c:v>
                </c:pt>
                <c:pt idx="459">
                  <c:v>569</c:v>
                </c:pt>
                <c:pt idx="460">
                  <c:v>603</c:v>
                </c:pt>
                <c:pt idx="461">
                  <c:v>618</c:v>
                </c:pt>
                <c:pt idx="462">
                  <c:v>433</c:v>
                </c:pt>
                <c:pt idx="463">
                  <c:v>311</c:v>
                </c:pt>
                <c:pt idx="464">
                  <c:v>289</c:v>
                </c:pt>
                <c:pt idx="465">
                  <c:v>950</c:v>
                </c:pt>
                <c:pt idx="466">
                  <c:v>468</c:v>
                </c:pt>
                <c:pt idx="467">
                  <c:v>668</c:v>
                </c:pt>
                <c:pt idx="468">
                  <c:v>447</c:v>
                </c:pt>
                <c:pt idx="469">
                  <c:v>823</c:v>
                </c:pt>
                <c:pt idx="470">
                  <c:v>477</c:v>
                </c:pt>
                <c:pt idx="471">
                  <c:v>494</c:v>
                </c:pt>
                <c:pt idx="472">
                  <c:v>522</c:v>
                </c:pt>
                <c:pt idx="473">
                  <c:v>438</c:v>
                </c:pt>
                <c:pt idx="474">
                  <c:v>717</c:v>
                </c:pt>
                <c:pt idx="475">
                  <c:v>291</c:v>
                </c:pt>
                <c:pt idx="476">
                  <c:v>320</c:v>
                </c:pt>
                <c:pt idx="477">
                  <c:v>561</c:v>
                </c:pt>
                <c:pt idx="478">
                  <c:v>632</c:v>
                </c:pt>
                <c:pt idx="479">
                  <c:v>521</c:v>
                </c:pt>
                <c:pt idx="480">
                  <c:v>493</c:v>
                </c:pt>
                <c:pt idx="481">
                  <c:v>380</c:v>
                </c:pt>
                <c:pt idx="482">
                  <c:v>407</c:v>
                </c:pt>
                <c:pt idx="483">
                  <c:v>495</c:v>
                </c:pt>
                <c:pt idx="484">
                  <c:v>518</c:v>
                </c:pt>
                <c:pt idx="485">
                  <c:v>589</c:v>
                </c:pt>
                <c:pt idx="486">
                  <c:v>554</c:v>
                </c:pt>
                <c:pt idx="487">
                  <c:v>517</c:v>
                </c:pt>
                <c:pt idx="488">
                  <c:v>675</c:v>
                </c:pt>
                <c:pt idx="489">
                  <c:v>474</c:v>
                </c:pt>
                <c:pt idx="490">
                  <c:v>539</c:v>
                </c:pt>
                <c:pt idx="491">
                  <c:v>661</c:v>
                </c:pt>
                <c:pt idx="492">
                  <c:v>311</c:v>
                </c:pt>
                <c:pt idx="493">
                  <c:v>289</c:v>
                </c:pt>
                <c:pt idx="494">
                  <c:v>535</c:v>
                </c:pt>
                <c:pt idx="495">
                  <c:v>581</c:v>
                </c:pt>
                <c:pt idx="496">
                  <c:v>571</c:v>
                </c:pt>
                <c:pt idx="497">
                  <c:v>489</c:v>
                </c:pt>
                <c:pt idx="498">
                  <c:v>500</c:v>
                </c:pt>
                <c:pt idx="499">
                  <c:v>397</c:v>
                </c:pt>
                <c:pt idx="500">
                  <c:v>329</c:v>
                </c:pt>
                <c:pt idx="501">
                  <c:v>468</c:v>
                </c:pt>
                <c:pt idx="502">
                  <c:v>835</c:v>
                </c:pt>
                <c:pt idx="503">
                  <c:v>289</c:v>
                </c:pt>
                <c:pt idx="504">
                  <c:v>539</c:v>
                </c:pt>
                <c:pt idx="505">
                  <c:v>389</c:v>
                </c:pt>
                <c:pt idx="506">
                  <c:v>289</c:v>
                </c:pt>
                <c:pt idx="507">
                  <c:v>589</c:v>
                </c:pt>
                <c:pt idx="508">
                  <c:v>614</c:v>
                </c:pt>
                <c:pt idx="509">
                  <c:v>590</c:v>
                </c:pt>
                <c:pt idx="510">
                  <c:v>692</c:v>
                </c:pt>
                <c:pt idx="511">
                  <c:v>349</c:v>
                </c:pt>
                <c:pt idx="512">
                  <c:v>511</c:v>
                </c:pt>
                <c:pt idx="513">
                  <c:v>579</c:v>
                </c:pt>
                <c:pt idx="514">
                  <c:v>531</c:v>
                </c:pt>
                <c:pt idx="515">
                  <c:v>482</c:v>
                </c:pt>
                <c:pt idx="516">
                  <c:v>530</c:v>
                </c:pt>
                <c:pt idx="517">
                  <c:v>487</c:v>
                </c:pt>
                <c:pt idx="518">
                  <c:v>306</c:v>
                </c:pt>
                <c:pt idx="519">
                  <c:v>493</c:v>
                </c:pt>
                <c:pt idx="520">
                  <c:v>558</c:v>
                </c:pt>
                <c:pt idx="521">
                  <c:v>394</c:v>
                </c:pt>
                <c:pt idx="522">
                  <c:v>407</c:v>
                </c:pt>
                <c:pt idx="523">
                  <c:v>425</c:v>
                </c:pt>
                <c:pt idx="524">
                  <c:v>440</c:v>
                </c:pt>
                <c:pt idx="525">
                  <c:v>889</c:v>
                </c:pt>
                <c:pt idx="526">
                  <c:v>459</c:v>
                </c:pt>
                <c:pt idx="527">
                  <c:v>509</c:v>
                </c:pt>
                <c:pt idx="528">
                  <c:v>325</c:v>
                </c:pt>
                <c:pt idx="529">
                  <c:v>708</c:v>
                </c:pt>
                <c:pt idx="530">
                  <c:v>389</c:v>
                </c:pt>
                <c:pt idx="531">
                  <c:v>310</c:v>
                </c:pt>
                <c:pt idx="532">
                  <c:v>396</c:v>
                </c:pt>
                <c:pt idx="533">
                  <c:v>406</c:v>
                </c:pt>
                <c:pt idx="534">
                  <c:v>629</c:v>
                </c:pt>
                <c:pt idx="535">
                  <c:v>312</c:v>
                </c:pt>
                <c:pt idx="536">
                  <c:v>831</c:v>
                </c:pt>
                <c:pt idx="537">
                  <c:v>376</c:v>
                </c:pt>
                <c:pt idx="538">
                  <c:v>489</c:v>
                </c:pt>
                <c:pt idx="539">
                  <c:v>590</c:v>
                </c:pt>
                <c:pt idx="540">
                  <c:v>325</c:v>
                </c:pt>
                <c:pt idx="541">
                  <c:v>773</c:v>
                </c:pt>
                <c:pt idx="542">
                  <c:v>383</c:v>
                </c:pt>
                <c:pt idx="543">
                  <c:v>589</c:v>
                </c:pt>
                <c:pt idx="544">
                  <c:v>442</c:v>
                </c:pt>
                <c:pt idx="545">
                  <c:v>442</c:v>
                </c:pt>
                <c:pt idx="546">
                  <c:v>389</c:v>
                </c:pt>
                <c:pt idx="547">
                  <c:v>495</c:v>
                </c:pt>
                <c:pt idx="548">
                  <c:v>409</c:v>
                </c:pt>
                <c:pt idx="549">
                  <c:v>592</c:v>
                </c:pt>
                <c:pt idx="550">
                  <c:v>500</c:v>
                </c:pt>
                <c:pt idx="551">
                  <c:v>637</c:v>
                </c:pt>
                <c:pt idx="552">
                  <c:v>330</c:v>
                </c:pt>
                <c:pt idx="553">
                  <c:v>528</c:v>
                </c:pt>
                <c:pt idx="554">
                  <c:v>629</c:v>
                </c:pt>
                <c:pt idx="555">
                  <c:v>241</c:v>
                </c:pt>
                <c:pt idx="556">
                  <c:v>460</c:v>
                </c:pt>
                <c:pt idx="557">
                  <c:v>552</c:v>
                </c:pt>
                <c:pt idx="558">
                  <c:v>384</c:v>
                </c:pt>
                <c:pt idx="559">
                  <c:v>486</c:v>
                </c:pt>
                <c:pt idx="560">
                  <c:v>389</c:v>
                </c:pt>
                <c:pt idx="561">
                  <c:v>432</c:v>
                </c:pt>
                <c:pt idx="562">
                  <c:v>289</c:v>
                </c:pt>
                <c:pt idx="563">
                  <c:v>497</c:v>
                </c:pt>
                <c:pt idx="564">
                  <c:v>531</c:v>
                </c:pt>
                <c:pt idx="565">
                  <c:v>389</c:v>
                </c:pt>
                <c:pt idx="566">
                  <c:v>647</c:v>
                </c:pt>
                <c:pt idx="567">
                  <c:v>577</c:v>
                </c:pt>
                <c:pt idx="568">
                  <c:v>289</c:v>
                </c:pt>
                <c:pt idx="569">
                  <c:v>546</c:v>
                </c:pt>
                <c:pt idx="570">
                  <c:v>574</c:v>
                </c:pt>
                <c:pt idx="571">
                  <c:v>439</c:v>
                </c:pt>
                <c:pt idx="572">
                  <c:v>632</c:v>
                </c:pt>
                <c:pt idx="573">
                  <c:v>621</c:v>
                </c:pt>
                <c:pt idx="574">
                  <c:v>290</c:v>
                </c:pt>
                <c:pt idx="575">
                  <c:v>569</c:v>
                </c:pt>
                <c:pt idx="576">
                  <c:v>565</c:v>
                </c:pt>
                <c:pt idx="577">
                  <c:v>571</c:v>
                </c:pt>
                <c:pt idx="578">
                  <c:v>491</c:v>
                </c:pt>
                <c:pt idx="579">
                  <c:v>550</c:v>
                </c:pt>
                <c:pt idx="580">
                  <c:v>866</c:v>
                </c:pt>
                <c:pt idx="581">
                  <c:v>730</c:v>
                </c:pt>
                <c:pt idx="582">
                  <c:v>624</c:v>
                </c:pt>
                <c:pt idx="583">
                  <c:v>526</c:v>
                </c:pt>
                <c:pt idx="584">
                  <c:v>525</c:v>
                </c:pt>
                <c:pt idx="585">
                  <c:v>489</c:v>
                </c:pt>
                <c:pt idx="586">
                  <c:v>579</c:v>
                </c:pt>
                <c:pt idx="587">
                  <c:v>606</c:v>
                </c:pt>
                <c:pt idx="588">
                  <c:v>289</c:v>
                </c:pt>
                <c:pt idx="589">
                  <c:v>518</c:v>
                </c:pt>
                <c:pt idx="590">
                  <c:v>544</c:v>
                </c:pt>
                <c:pt idx="591">
                  <c:v>556</c:v>
                </c:pt>
                <c:pt idx="592">
                  <c:v>489</c:v>
                </c:pt>
                <c:pt idx="593">
                  <c:v>418</c:v>
                </c:pt>
                <c:pt idx="594">
                  <c:v>727</c:v>
                </c:pt>
                <c:pt idx="595">
                  <c:v>717</c:v>
                </c:pt>
                <c:pt idx="596">
                  <c:v>191</c:v>
                </c:pt>
                <c:pt idx="597">
                  <c:v>417</c:v>
                </c:pt>
                <c:pt idx="598">
                  <c:v>598</c:v>
                </c:pt>
                <c:pt idx="599">
                  <c:v>215</c:v>
                </c:pt>
                <c:pt idx="600">
                  <c:v>593</c:v>
                </c:pt>
                <c:pt idx="601">
                  <c:v>479</c:v>
                </c:pt>
                <c:pt idx="602">
                  <c:v>477</c:v>
                </c:pt>
                <c:pt idx="603">
                  <c:v>432</c:v>
                </c:pt>
                <c:pt idx="604">
                  <c:v>224</c:v>
                </c:pt>
                <c:pt idx="605">
                  <c:v>589</c:v>
                </c:pt>
                <c:pt idx="606">
                  <c:v>447</c:v>
                </c:pt>
                <c:pt idx="607">
                  <c:v>516</c:v>
                </c:pt>
                <c:pt idx="608">
                  <c:v>499</c:v>
                </c:pt>
                <c:pt idx="609">
                  <c:v>339</c:v>
                </c:pt>
                <c:pt idx="610">
                  <c:v>580</c:v>
                </c:pt>
                <c:pt idx="611">
                  <c:v>289</c:v>
                </c:pt>
                <c:pt idx="612">
                  <c:v>425</c:v>
                </c:pt>
                <c:pt idx="613">
                  <c:v>496</c:v>
                </c:pt>
                <c:pt idx="614">
                  <c:v>675</c:v>
                </c:pt>
                <c:pt idx="615">
                  <c:v>439</c:v>
                </c:pt>
                <c:pt idx="616">
                  <c:v>596</c:v>
                </c:pt>
                <c:pt idx="617">
                  <c:v>334</c:v>
                </c:pt>
                <c:pt idx="618">
                  <c:v>539</c:v>
                </c:pt>
                <c:pt idx="619">
                  <c:v>439</c:v>
                </c:pt>
                <c:pt idx="620">
                  <c:v>439</c:v>
                </c:pt>
                <c:pt idx="621">
                  <c:v>415</c:v>
                </c:pt>
                <c:pt idx="622">
                  <c:v>400</c:v>
                </c:pt>
                <c:pt idx="623">
                  <c:v>820</c:v>
                </c:pt>
                <c:pt idx="624">
                  <c:v>668</c:v>
                </c:pt>
                <c:pt idx="625">
                  <c:v>760</c:v>
                </c:pt>
                <c:pt idx="626">
                  <c:v>397</c:v>
                </c:pt>
                <c:pt idx="627">
                  <c:v>371</c:v>
                </c:pt>
                <c:pt idx="628">
                  <c:v>405</c:v>
                </c:pt>
                <c:pt idx="629">
                  <c:v>417</c:v>
                </c:pt>
                <c:pt idx="630">
                  <c:v>366</c:v>
                </c:pt>
                <c:pt idx="631">
                  <c:v>529</c:v>
                </c:pt>
                <c:pt idx="632">
                  <c:v>497</c:v>
                </c:pt>
                <c:pt idx="633">
                  <c:v>475</c:v>
                </c:pt>
                <c:pt idx="634">
                  <c:v>650</c:v>
                </c:pt>
                <c:pt idx="635">
                  <c:v>567</c:v>
                </c:pt>
                <c:pt idx="636">
                  <c:v>386</c:v>
                </c:pt>
                <c:pt idx="637">
                  <c:v>687</c:v>
                </c:pt>
                <c:pt idx="638">
                  <c:v>371</c:v>
                </c:pt>
                <c:pt idx="639">
                  <c:v>589</c:v>
                </c:pt>
                <c:pt idx="640">
                  <c:v>584</c:v>
                </c:pt>
                <c:pt idx="641">
                  <c:v>518</c:v>
                </c:pt>
                <c:pt idx="642">
                  <c:v>439</c:v>
                </c:pt>
                <c:pt idx="643">
                  <c:v>434</c:v>
                </c:pt>
                <c:pt idx="644">
                  <c:v>422</c:v>
                </c:pt>
                <c:pt idx="645">
                  <c:v>621</c:v>
                </c:pt>
                <c:pt idx="646">
                  <c:v>499</c:v>
                </c:pt>
                <c:pt idx="647">
                  <c:v>389</c:v>
                </c:pt>
                <c:pt idx="648">
                  <c:v>489</c:v>
                </c:pt>
                <c:pt idx="649">
                  <c:v>427</c:v>
                </c:pt>
                <c:pt idx="650">
                  <c:v>576</c:v>
                </c:pt>
                <c:pt idx="651">
                  <c:v>473</c:v>
                </c:pt>
                <c:pt idx="652">
                  <c:v>526</c:v>
                </c:pt>
                <c:pt idx="653">
                  <c:v>359</c:v>
                </c:pt>
                <c:pt idx="654">
                  <c:v>589</c:v>
                </c:pt>
                <c:pt idx="655">
                  <c:v>439</c:v>
                </c:pt>
                <c:pt idx="656">
                  <c:v>426</c:v>
                </c:pt>
                <c:pt idx="657">
                  <c:v>464</c:v>
                </c:pt>
                <c:pt idx="658">
                  <c:v>605</c:v>
                </c:pt>
                <c:pt idx="659">
                  <c:v>657</c:v>
                </c:pt>
                <c:pt idx="660">
                  <c:v>491</c:v>
                </c:pt>
                <c:pt idx="661">
                  <c:v>688</c:v>
                </c:pt>
                <c:pt idx="662">
                  <c:v>497</c:v>
                </c:pt>
                <c:pt idx="663">
                  <c:v>536</c:v>
                </c:pt>
                <c:pt idx="664">
                  <c:v>449</c:v>
                </c:pt>
                <c:pt idx="665">
                  <c:v>530</c:v>
                </c:pt>
                <c:pt idx="666">
                  <c:v>631</c:v>
                </c:pt>
                <c:pt idx="667">
                  <c:v>505</c:v>
                </c:pt>
                <c:pt idx="668">
                  <c:v>558</c:v>
                </c:pt>
                <c:pt idx="669">
                  <c:v>789</c:v>
                </c:pt>
                <c:pt idx="670">
                  <c:v>928</c:v>
                </c:pt>
                <c:pt idx="671">
                  <c:v>434</c:v>
                </c:pt>
                <c:pt idx="672">
                  <c:v>511</c:v>
                </c:pt>
                <c:pt idx="673">
                  <c:v>328</c:v>
                </c:pt>
                <c:pt idx="674">
                  <c:v>471</c:v>
                </c:pt>
                <c:pt idx="675">
                  <c:v>496</c:v>
                </c:pt>
                <c:pt idx="676">
                  <c:v>591</c:v>
                </c:pt>
                <c:pt idx="677">
                  <c:v>778</c:v>
                </c:pt>
                <c:pt idx="678">
                  <c:v>507</c:v>
                </c:pt>
                <c:pt idx="679">
                  <c:v>168</c:v>
                </c:pt>
                <c:pt idx="680">
                  <c:v>443</c:v>
                </c:pt>
                <c:pt idx="681">
                  <c:v>492</c:v>
                </c:pt>
                <c:pt idx="682">
                  <c:v>468</c:v>
                </c:pt>
                <c:pt idx="683">
                  <c:v>556</c:v>
                </c:pt>
                <c:pt idx="684">
                  <c:v>289</c:v>
                </c:pt>
                <c:pt idx="685">
                  <c:v>449</c:v>
                </c:pt>
                <c:pt idx="686">
                  <c:v>340</c:v>
                </c:pt>
                <c:pt idx="687">
                  <c:v>363</c:v>
                </c:pt>
                <c:pt idx="688">
                  <c:v>389</c:v>
                </c:pt>
                <c:pt idx="689">
                  <c:v>649</c:v>
                </c:pt>
                <c:pt idx="690">
                  <c:v>506</c:v>
                </c:pt>
                <c:pt idx="691">
                  <c:v>439</c:v>
                </c:pt>
                <c:pt idx="692">
                  <c:v>499</c:v>
                </c:pt>
                <c:pt idx="693">
                  <c:v>533</c:v>
                </c:pt>
                <c:pt idx="694">
                  <c:v>463</c:v>
                </c:pt>
                <c:pt idx="695">
                  <c:v>504</c:v>
                </c:pt>
                <c:pt idx="696">
                  <c:v>589</c:v>
                </c:pt>
                <c:pt idx="697">
                  <c:v>596</c:v>
                </c:pt>
                <c:pt idx="698">
                  <c:v>539</c:v>
                </c:pt>
                <c:pt idx="699">
                  <c:v>507</c:v>
                </c:pt>
                <c:pt idx="700">
                  <c:v>586</c:v>
                </c:pt>
                <c:pt idx="701">
                  <c:v>378</c:v>
                </c:pt>
                <c:pt idx="702">
                  <c:v>484</c:v>
                </c:pt>
                <c:pt idx="703">
                  <c:v>489</c:v>
                </c:pt>
                <c:pt idx="704">
                  <c:v>527</c:v>
                </c:pt>
                <c:pt idx="705">
                  <c:v>416</c:v>
                </c:pt>
                <c:pt idx="706">
                  <c:v>463</c:v>
                </c:pt>
                <c:pt idx="707">
                  <c:v>508</c:v>
                </c:pt>
                <c:pt idx="708">
                  <c:v>589</c:v>
                </c:pt>
                <c:pt idx="709">
                  <c:v>544</c:v>
                </c:pt>
                <c:pt idx="710">
                  <c:v>373</c:v>
                </c:pt>
                <c:pt idx="711">
                  <c:v>690</c:v>
                </c:pt>
                <c:pt idx="712">
                  <c:v>389</c:v>
                </c:pt>
                <c:pt idx="713">
                  <c:v>376</c:v>
                </c:pt>
                <c:pt idx="714">
                  <c:v>580</c:v>
                </c:pt>
                <c:pt idx="715">
                  <c:v>789</c:v>
                </c:pt>
                <c:pt idx="716">
                  <c:v>538</c:v>
                </c:pt>
                <c:pt idx="717">
                  <c:v>720</c:v>
                </c:pt>
                <c:pt idx="718">
                  <c:v>453</c:v>
                </c:pt>
                <c:pt idx="719">
                  <c:v>580</c:v>
                </c:pt>
                <c:pt idx="720">
                  <c:v>594</c:v>
                </c:pt>
                <c:pt idx="721">
                  <c:v>575</c:v>
                </c:pt>
                <c:pt idx="722">
                  <c:v>726</c:v>
                </c:pt>
                <c:pt idx="723">
                  <c:v>572</c:v>
                </c:pt>
                <c:pt idx="724">
                  <c:v>775</c:v>
                </c:pt>
                <c:pt idx="725">
                  <c:v>553</c:v>
                </c:pt>
                <c:pt idx="726">
                  <c:v>498</c:v>
                </c:pt>
                <c:pt idx="727">
                  <c:v>430</c:v>
                </c:pt>
                <c:pt idx="728">
                  <c:v>474</c:v>
                </c:pt>
                <c:pt idx="729">
                  <c:v>447</c:v>
                </c:pt>
                <c:pt idx="730">
                  <c:v>426</c:v>
                </c:pt>
                <c:pt idx="731">
                  <c:v>445</c:v>
                </c:pt>
                <c:pt idx="732">
                  <c:v>481</c:v>
                </c:pt>
                <c:pt idx="733">
                  <c:v>359</c:v>
                </c:pt>
                <c:pt idx="734">
                  <c:v>439</c:v>
                </c:pt>
                <c:pt idx="735">
                  <c:v>502</c:v>
                </c:pt>
                <c:pt idx="736">
                  <c:v>520</c:v>
                </c:pt>
                <c:pt idx="737">
                  <c:v>366</c:v>
                </c:pt>
                <c:pt idx="738">
                  <c:v>389</c:v>
                </c:pt>
                <c:pt idx="739">
                  <c:v>589</c:v>
                </c:pt>
                <c:pt idx="740">
                  <c:v>289</c:v>
                </c:pt>
                <c:pt idx="741">
                  <c:v>452</c:v>
                </c:pt>
                <c:pt idx="742">
                  <c:v>405</c:v>
                </c:pt>
                <c:pt idx="743">
                  <c:v>459</c:v>
                </c:pt>
                <c:pt idx="744">
                  <c:v>517</c:v>
                </c:pt>
                <c:pt idx="745">
                  <c:v>748</c:v>
                </c:pt>
                <c:pt idx="746">
                  <c:v>607</c:v>
                </c:pt>
                <c:pt idx="747">
                  <c:v>494</c:v>
                </c:pt>
                <c:pt idx="748">
                  <c:v>539</c:v>
                </c:pt>
                <c:pt idx="749">
                  <c:v>589</c:v>
                </c:pt>
                <c:pt idx="750">
                  <c:v>541</c:v>
                </c:pt>
                <c:pt idx="751">
                  <c:v>539</c:v>
                </c:pt>
                <c:pt idx="752">
                  <c:v>441</c:v>
                </c:pt>
                <c:pt idx="753">
                  <c:v>539</c:v>
                </c:pt>
                <c:pt idx="754">
                  <c:v>433</c:v>
                </c:pt>
                <c:pt idx="755">
                  <c:v>636</c:v>
                </c:pt>
                <c:pt idx="756">
                  <c:v>717</c:v>
                </c:pt>
                <c:pt idx="757">
                  <c:v>347</c:v>
                </c:pt>
                <c:pt idx="758">
                  <c:v>507</c:v>
                </c:pt>
                <c:pt idx="759">
                  <c:v>351</c:v>
                </c:pt>
                <c:pt idx="760">
                  <c:v>518</c:v>
                </c:pt>
                <c:pt idx="761">
                  <c:v>505</c:v>
                </c:pt>
                <c:pt idx="762">
                  <c:v>488</c:v>
                </c:pt>
                <c:pt idx="763">
                  <c:v>479</c:v>
                </c:pt>
                <c:pt idx="764">
                  <c:v>374</c:v>
                </c:pt>
                <c:pt idx="765">
                  <c:v>725</c:v>
                </c:pt>
                <c:pt idx="766">
                  <c:v>272</c:v>
                </c:pt>
                <c:pt idx="767">
                  <c:v>539</c:v>
                </c:pt>
                <c:pt idx="768">
                  <c:v>557</c:v>
                </c:pt>
                <c:pt idx="769">
                  <c:v>554</c:v>
                </c:pt>
                <c:pt idx="770">
                  <c:v>417</c:v>
                </c:pt>
                <c:pt idx="771">
                  <c:v>350</c:v>
                </c:pt>
                <c:pt idx="772">
                  <c:v>501</c:v>
                </c:pt>
                <c:pt idx="773">
                  <c:v>599</c:v>
                </c:pt>
                <c:pt idx="774">
                  <c:v>378</c:v>
                </c:pt>
                <c:pt idx="775">
                  <c:v>589</c:v>
                </c:pt>
                <c:pt idx="776">
                  <c:v>589</c:v>
                </c:pt>
                <c:pt idx="777">
                  <c:v>506</c:v>
                </c:pt>
                <c:pt idx="778">
                  <c:v>396</c:v>
                </c:pt>
                <c:pt idx="779">
                  <c:v>293</c:v>
                </c:pt>
                <c:pt idx="780">
                  <c:v>572</c:v>
                </c:pt>
                <c:pt idx="781">
                  <c:v>721</c:v>
                </c:pt>
                <c:pt idx="782">
                  <c:v>574</c:v>
                </c:pt>
                <c:pt idx="783">
                  <c:v>556</c:v>
                </c:pt>
                <c:pt idx="784">
                  <c:v>824</c:v>
                </c:pt>
                <c:pt idx="785">
                  <c:v>484</c:v>
                </c:pt>
                <c:pt idx="786">
                  <c:v>684</c:v>
                </c:pt>
                <c:pt idx="787">
                  <c:v>442</c:v>
                </c:pt>
                <c:pt idx="788">
                  <c:v>536</c:v>
                </c:pt>
                <c:pt idx="789">
                  <c:v>589</c:v>
                </c:pt>
                <c:pt idx="790">
                  <c:v>525</c:v>
                </c:pt>
                <c:pt idx="791">
                  <c:v>558</c:v>
                </c:pt>
                <c:pt idx="792">
                  <c:v>388</c:v>
                </c:pt>
                <c:pt idx="793">
                  <c:v>255</c:v>
                </c:pt>
                <c:pt idx="794">
                  <c:v>442</c:v>
                </c:pt>
                <c:pt idx="795">
                  <c:v>408</c:v>
                </c:pt>
                <c:pt idx="796">
                  <c:v>678</c:v>
                </c:pt>
                <c:pt idx="797">
                  <c:v>515</c:v>
                </c:pt>
                <c:pt idx="798">
                  <c:v>482</c:v>
                </c:pt>
                <c:pt idx="799">
                  <c:v>623</c:v>
                </c:pt>
                <c:pt idx="800">
                  <c:v>676</c:v>
                </c:pt>
                <c:pt idx="801">
                  <c:v>589</c:v>
                </c:pt>
                <c:pt idx="802">
                  <c:v>583</c:v>
                </c:pt>
                <c:pt idx="803">
                  <c:v>497</c:v>
                </c:pt>
                <c:pt idx="804">
                  <c:v>301</c:v>
                </c:pt>
                <c:pt idx="805">
                  <c:v>662</c:v>
                </c:pt>
                <c:pt idx="806">
                  <c:v>464</c:v>
                </c:pt>
                <c:pt idx="807">
                  <c:v>376</c:v>
                </c:pt>
                <c:pt idx="808">
                  <c:v>715</c:v>
                </c:pt>
                <c:pt idx="809">
                  <c:v>581</c:v>
                </c:pt>
                <c:pt idx="810">
                  <c:v>429</c:v>
                </c:pt>
                <c:pt idx="811">
                  <c:v>498</c:v>
                </c:pt>
                <c:pt idx="812">
                  <c:v>589</c:v>
                </c:pt>
                <c:pt idx="813">
                  <c:v>289</c:v>
                </c:pt>
                <c:pt idx="814">
                  <c:v>435</c:v>
                </c:pt>
                <c:pt idx="815">
                  <c:v>689</c:v>
                </c:pt>
                <c:pt idx="816">
                  <c:v>518</c:v>
                </c:pt>
                <c:pt idx="817">
                  <c:v>579</c:v>
                </c:pt>
                <c:pt idx="818">
                  <c:v>389</c:v>
                </c:pt>
                <c:pt idx="819">
                  <c:v>488</c:v>
                </c:pt>
                <c:pt idx="820">
                  <c:v>746</c:v>
                </c:pt>
                <c:pt idx="821">
                  <c:v>289</c:v>
                </c:pt>
                <c:pt idx="822">
                  <c:v>766</c:v>
                </c:pt>
                <c:pt idx="823">
                  <c:v>789</c:v>
                </c:pt>
                <c:pt idx="824">
                  <c:v>489</c:v>
                </c:pt>
                <c:pt idx="825">
                  <c:v>520</c:v>
                </c:pt>
                <c:pt idx="826">
                  <c:v>452</c:v>
                </c:pt>
                <c:pt idx="827">
                  <c:v>551</c:v>
                </c:pt>
                <c:pt idx="828">
                  <c:v>527</c:v>
                </c:pt>
                <c:pt idx="829">
                  <c:v>398</c:v>
                </c:pt>
                <c:pt idx="830">
                  <c:v>878</c:v>
                </c:pt>
                <c:pt idx="831">
                  <c:v>418</c:v>
                </c:pt>
                <c:pt idx="832">
                  <c:v>389</c:v>
                </c:pt>
                <c:pt idx="833">
                  <c:v>646</c:v>
                </c:pt>
                <c:pt idx="834">
                  <c:v>525</c:v>
                </c:pt>
                <c:pt idx="835">
                  <c:v>273</c:v>
                </c:pt>
                <c:pt idx="836">
                  <c:v>206</c:v>
                </c:pt>
                <c:pt idx="837">
                  <c:v>404</c:v>
                </c:pt>
                <c:pt idx="838">
                  <c:v>564</c:v>
                </c:pt>
                <c:pt idx="839">
                  <c:v>529</c:v>
                </c:pt>
                <c:pt idx="840">
                  <c:v>889</c:v>
                </c:pt>
                <c:pt idx="841">
                  <c:v>339</c:v>
                </c:pt>
                <c:pt idx="842">
                  <c:v>672</c:v>
                </c:pt>
                <c:pt idx="843">
                  <c:v>518</c:v>
                </c:pt>
                <c:pt idx="844">
                  <c:v>323</c:v>
                </c:pt>
                <c:pt idx="845">
                  <c:v>326</c:v>
                </c:pt>
                <c:pt idx="846">
                  <c:v>589</c:v>
                </c:pt>
                <c:pt idx="847">
                  <c:v>508</c:v>
                </c:pt>
                <c:pt idx="848">
                  <c:v>541</c:v>
                </c:pt>
                <c:pt idx="849">
                  <c:v>441</c:v>
                </c:pt>
                <c:pt idx="850">
                  <c:v>450</c:v>
                </c:pt>
                <c:pt idx="851">
                  <c:v>294</c:v>
                </c:pt>
                <c:pt idx="852">
                  <c:v>424</c:v>
                </c:pt>
                <c:pt idx="853">
                  <c:v>317</c:v>
                </c:pt>
                <c:pt idx="854">
                  <c:v>507</c:v>
                </c:pt>
                <c:pt idx="855">
                  <c:v>393</c:v>
                </c:pt>
                <c:pt idx="856">
                  <c:v>579</c:v>
                </c:pt>
                <c:pt idx="857">
                  <c:v>367</c:v>
                </c:pt>
                <c:pt idx="858">
                  <c:v>513</c:v>
                </c:pt>
                <c:pt idx="859">
                  <c:v>473</c:v>
                </c:pt>
                <c:pt idx="860">
                  <c:v>438</c:v>
                </c:pt>
                <c:pt idx="861">
                  <c:v>517</c:v>
                </c:pt>
                <c:pt idx="862">
                  <c:v>323</c:v>
                </c:pt>
                <c:pt idx="863">
                  <c:v>331</c:v>
                </c:pt>
                <c:pt idx="864">
                  <c:v>364</c:v>
                </c:pt>
                <c:pt idx="865">
                  <c:v>455</c:v>
                </c:pt>
                <c:pt idx="866">
                  <c:v>438</c:v>
                </c:pt>
                <c:pt idx="867">
                  <c:v>519</c:v>
                </c:pt>
                <c:pt idx="868">
                  <c:v>763</c:v>
                </c:pt>
                <c:pt idx="869">
                  <c:v>650</c:v>
                </c:pt>
                <c:pt idx="870">
                  <c:v>635</c:v>
                </c:pt>
                <c:pt idx="871">
                  <c:v>635</c:v>
                </c:pt>
                <c:pt idx="872">
                  <c:v>412</c:v>
                </c:pt>
                <c:pt idx="873">
                  <c:v>778</c:v>
                </c:pt>
                <c:pt idx="874">
                  <c:v>391</c:v>
                </c:pt>
                <c:pt idx="875">
                  <c:v>398</c:v>
                </c:pt>
                <c:pt idx="876">
                  <c:v>289</c:v>
                </c:pt>
                <c:pt idx="877">
                  <c:v>289</c:v>
                </c:pt>
                <c:pt idx="878">
                  <c:v>397</c:v>
                </c:pt>
                <c:pt idx="879">
                  <c:v>658</c:v>
                </c:pt>
                <c:pt idx="880">
                  <c:v>459</c:v>
                </c:pt>
                <c:pt idx="881">
                  <c:v>496</c:v>
                </c:pt>
                <c:pt idx="882">
                  <c:v>270</c:v>
                </c:pt>
                <c:pt idx="883">
                  <c:v>480</c:v>
                </c:pt>
                <c:pt idx="884">
                  <c:v>585</c:v>
                </c:pt>
                <c:pt idx="885">
                  <c:v>384</c:v>
                </c:pt>
                <c:pt idx="886">
                  <c:v>594</c:v>
                </c:pt>
                <c:pt idx="887">
                  <c:v>322</c:v>
                </c:pt>
                <c:pt idx="888">
                  <c:v>624</c:v>
                </c:pt>
                <c:pt idx="889">
                  <c:v>604</c:v>
                </c:pt>
                <c:pt idx="890">
                  <c:v>384</c:v>
                </c:pt>
                <c:pt idx="891">
                  <c:v>424</c:v>
                </c:pt>
                <c:pt idx="892">
                  <c:v>489</c:v>
                </c:pt>
                <c:pt idx="893">
                  <c:v>796</c:v>
                </c:pt>
                <c:pt idx="894">
                  <c:v>477</c:v>
                </c:pt>
                <c:pt idx="895">
                  <c:v>411</c:v>
                </c:pt>
                <c:pt idx="896">
                  <c:v>439</c:v>
                </c:pt>
                <c:pt idx="897">
                  <c:v>560</c:v>
                </c:pt>
                <c:pt idx="898">
                  <c:v>400</c:v>
                </c:pt>
                <c:pt idx="899">
                  <c:v>368</c:v>
                </c:pt>
                <c:pt idx="900">
                  <c:v>335</c:v>
                </c:pt>
                <c:pt idx="901">
                  <c:v>463</c:v>
                </c:pt>
                <c:pt idx="902">
                  <c:v>394</c:v>
                </c:pt>
                <c:pt idx="903">
                  <c:v>749</c:v>
                </c:pt>
                <c:pt idx="904">
                  <c:v>410</c:v>
                </c:pt>
                <c:pt idx="905">
                  <c:v>433</c:v>
                </c:pt>
                <c:pt idx="906">
                  <c:v>519</c:v>
                </c:pt>
                <c:pt idx="907">
                  <c:v>589</c:v>
                </c:pt>
                <c:pt idx="908">
                  <c:v>842</c:v>
                </c:pt>
                <c:pt idx="909">
                  <c:v>589</c:v>
                </c:pt>
                <c:pt idx="910">
                  <c:v>539</c:v>
                </c:pt>
                <c:pt idx="911">
                  <c:v>428</c:v>
                </c:pt>
                <c:pt idx="912">
                  <c:v>587</c:v>
                </c:pt>
                <c:pt idx="913">
                  <c:v>481</c:v>
                </c:pt>
                <c:pt idx="914">
                  <c:v>778</c:v>
                </c:pt>
                <c:pt idx="915">
                  <c:v>479</c:v>
                </c:pt>
                <c:pt idx="916">
                  <c:v>582</c:v>
                </c:pt>
                <c:pt idx="917">
                  <c:v>651</c:v>
                </c:pt>
                <c:pt idx="918">
                  <c:v>574</c:v>
                </c:pt>
                <c:pt idx="919">
                  <c:v>673</c:v>
                </c:pt>
                <c:pt idx="920">
                  <c:v>534</c:v>
                </c:pt>
                <c:pt idx="921">
                  <c:v>398</c:v>
                </c:pt>
                <c:pt idx="922">
                  <c:v>289</c:v>
                </c:pt>
                <c:pt idx="923">
                  <c:v>589</c:v>
                </c:pt>
                <c:pt idx="924">
                  <c:v>271</c:v>
                </c:pt>
                <c:pt idx="925">
                  <c:v>384</c:v>
                </c:pt>
                <c:pt idx="926">
                  <c:v>407</c:v>
                </c:pt>
                <c:pt idx="927">
                  <c:v>967</c:v>
                </c:pt>
                <c:pt idx="928">
                  <c:v>630</c:v>
                </c:pt>
                <c:pt idx="929">
                  <c:v>377</c:v>
                </c:pt>
                <c:pt idx="930">
                  <c:v>456</c:v>
                </c:pt>
                <c:pt idx="931">
                  <c:v>704</c:v>
                </c:pt>
                <c:pt idx="932">
                  <c:v>503</c:v>
                </c:pt>
                <c:pt idx="933">
                  <c:v>363</c:v>
                </c:pt>
                <c:pt idx="934">
                  <c:v>453</c:v>
                </c:pt>
                <c:pt idx="935">
                  <c:v>456</c:v>
                </c:pt>
                <c:pt idx="936">
                  <c:v>480</c:v>
                </c:pt>
                <c:pt idx="937">
                  <c:v>425</c:v>
                </c:pt>
                <c:pt idx="938">
                  <c:v>424</c:v>
                </c:pt>
                <c:pt idx="939">
                  <c:v>732</c:v>
                </c:pt>
                <c:pt idx="940">
                  <c:v>895</c:v>
                </c:pt>
                <c:pt idx="941">
                  <c:v>477</c:v>
                </c:pt>
                <c:pt idx="942">
                  <c:v>571</c:v>
                </c:pt>
                <c:pt idx="943">
                  <c:v>744</c:v>
                </c:pt>
                <c:pt idx="944">
                  <c:v>419</c:v>
                </c:pt>
                <c:pt idx="945">
                  <c:v>550</c:v>
                </c:pt>
                <c:pt idx="946">
                  <c:v>588</c:v>
                </c:pt>
                <c:pt idx="947">
                  <c:v>443</c:v>
                </c:pt>
                <c:pt idx="948">
                  <c:v>539</c:v>
                </c:pt>
                <c:pt idx="949">
                  <c:v>397</c:v>
                </c:pt>
                <c:pt idx="950">
                  <c:v>368</c:v>
                </c:pt>
                <c:pt idx="951">
                  <c:v>496</c:v>
                </c:pt>
                <c:pt idx="952">
                  <c:v>254</c:v>
                </c:pt>
                <c:pt idx="953">
                  <c:v>589</c:v>
                </c:pt>
                <c:pt idx="954">
                  <c:v>558</c:v>
                </c:pt>
                <c:pt idx="955">
                  <c:v>564</c:v>
                </c:pt>
                <c:pt idx="956">
                  <c:v>546</c:v>
                </c:pt>
                <c:pt idx="957">
                  <c:v>441</c:v>
                </c:pt>
                <c:pt idx="958">
                  <c:v>405</c:v>
                </c:pt>
                <c:pt idx="959">
                  <c:v>489</c:v>
                </c:pt>
                <c:pt idx="960">
                  <c:v>573</c:v>
                </c:pt>
                <c:pt idx="961">
                  <c:v>717</c:v>
                </c:pt>
                <c:pt idx="962">
                  <c:v>437</c:v>
                </c:pt>
                <c:pt idx="963">
                  <c:v>575</c:v>
                </c:pt>
                <c:pt idx="964">
                  <c:v>445</c:v>
                </c:pt>
                <c:pt idx="965">
                  <c:v>420</c:v>
                </c:pt>
                <c:pt idx="966">
                  <c:v>633</c:v>
                </c:pt>
                <c:pt idx="967">
                  <c:v>556</c:v>
                </c:pt>
                <c:pt idx="968">
                  <c:v>522</c:v>
                </c:pt>
                <c:pt idx="969">
                  <c:v>703</c:v>
                </c:pt>
                <c:pt idx="970">
                  <c:v>395</c:v>
                </c:pt>
                <c:pt idx="971">
                  <c:v>445</c:v>
                </c:pt>
                <c:pt idx="972">
                  <c:v>417</c:v>
                </c:pt>
                <c:pt idx="973">
                  <c:v>481</c:v>
                </c:pt>
                <c:pt idx="974">
                  <c:v>489</c:v>
                </c:pt>
                <c:pt idx="975">
                  <c:v>540</c:v>
                </c:pt>
                <c:pt idx="976">
                  <c:v>409</c:v>
                </c:pt>
                <c:pt idx="977">
                  <c:v>424</c:v>
                </c:pt>
                <c:pt idx="978">
                  <c:v>489</c:v>
                </c:pt>
                <c:pt idx="979">
                  <c:v>576</c:v>
                </c:pt>
                <c:pt idx="980">
                  <c:v>325</c:v>
                </c:pt>
                <c:pt idx="981">
                  <c:v>419</c:v>
                </c:pt>
                <c:pt idx="982">
                  <c:v>558</c:v>
                </c:pt>
                <c:pt idx="983">
                  <c:v>395</c:v>
                </c:pt>
                <c:pt idx="984">
                  <c:v>652</c:v>
                </c:pt>
                <c:pt idx="985">
                  <c:v>563</c:v>
                </c:pt>
                <c:pt idx="986">
                  <c:v>327</c:v>
                </c:pt>
                <c:pt idx="987">
                  <c:v>428</c:v>
                </c:pt>
                <c:pt idx="988">
                  <c:v>492</c:v>
                </c:pt>
                <c:pt idx="989">
                  <c:v>422</c:v>
                </c:pt>
                <c:pt idx="990">
                  <c:v>401</c:v>
                </c:pt>
                <c:pt idx="991">
                  <c:v>449</c:v>
                </c:pt>
                <c:pt idx="992">
                  <c:v>489</c:v>
                </c:pt>
                <c:pt idx="993">
                  <c:v>589</c:v>
                </c:pt>
                <c:pt idx="994">
                  <c:v>551</c:v>
                </c:pt>
                <c:pt idx="995">
                  <c:v>539</c:v>
                </c:pt>
                <c:pt idx="996">
                  <c:v>574</c:v>
                </c:pt>
                <c:pt idx="997">
                  <c:v>566</c:v>
                </c:pt>
                <c:pt idx="998">
                  <c:v>451</c:v>
                </c:pt>
                <c:pt idx="999">
                  <c:v>662</c:v>
                </c:pt>
              </c:numCache>
            </c:numRef>
          </c:yVal>
          <c:smooth val="0"/>
          <c:extLst>
            <c:ext xmlns:c16="http://schemas.microsoft.com/office/drawing/2014/chart" uri="{C3380CC4-5D6E-409C-BE32-E72D297353CC}">
              <c16:uniqueId val="{00000001-691D-44FE-9654-E53376BF7AE8}"/>
            </c:ext>
          </c:extLst>
        </c:ser>
        <c:dLbls>
          <c:showLegendKey val="0"/>
          <c:showVal val="0"/>
          <c:showCatName val="0"/>
          <c:showSerName val="0"/>
          <c:showPercent val="0"/>
          <c:showBubbleSize val="0"/>
        </c:dLbls>
        <c:axId val="180224416"/>
        <c:axId val="282646448"/>
      </c:scatterChart>
      <c:valAx>
        <c:axId val="18022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646448"/>
        <c:crosses val="autoZero"/>
        <c:crossBetween val="midCat"/>
      </c:valAx>
      <c:valAx>
        <c:axId val="28264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244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Phone VS Selling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Raw_Data!$E$2:$E$1001</c:f>
              <c:numCache>
                <c:formatCode>0\ "Years"</c:formatCode>
                <c:ptCount val="1000"/>
                <c:pt idx="0">
                  <c:v>6</c:v>
                </c:pt>
                <c:pt idx="1">
                  <c:v>6</c:v>
                </c:pt>
                <c:pt idx="2">
                  <c:v>3</c:v>
                </c:pt>
                <c:pt idx="3">
                  <c:v>5</c:v>
                </c:pt>
                <c:pt idx="4">
                  <c:v>5</c:v>
                </c:pt>
                <c:pt idx="5">
                  <c:v>3</c:v>
                </c:pt>
                <c:pt idx="6">
                  <c:v>3</c:v>
                </c:pt>
                <c:pt idx="7">
                  <c:v>5</c:v>
                </c:pt>
                <c:pt idx="8">
                  <c:v>6</c:v>
                </c:pt>
                <c:pt idx="9">
                  <c:v>4</c:v>
                </c:pt>
                <c:pt idx="10">
                  <c:v>6</c:v>
                </c:pt>
                <c:pt idx="11">
                  <c:v>4</c:v>
                </c:pt>
                <c:pt idx="12">
                  <c:v>2</c:v>
                </c:pt>
                <c:pt idx="13">
                  <c:v>2</c:v>
                </c:pt>
                <c:pt idx="14">
                  <c:v>2</c:v>
                </c:pt>
                <c:pt idx="15">
                  <c:v>2</c:v>
                </c:pt>
                <c:pt idx="16">
                  <c:v>3</c:v>
                </c:pt>
                <c:pt idx="17">
                  <c:v>6</c:v>
                </c:pt>
                <c:pt idx="18">
                  <c:v>4</c:v>
                </c:pt>
                <c:pt idx="19">
                  <c:v>6</c:v>
                </c:pt>
                <c:pt idx="20">
                  <c:v>6</c:v>
                </c:pt>
                <c:pt idx="21">
                  <c:v>3</c:v>
                </c:pt>
                <c:pt idx="22">
                  <c:v>6</c:v>
                </c:pt>
                <c:pt idx="23">
                  <c:v>3</c:v>
                </c:pt>
                <c:pt idx="24">
                  <c:v>4</c:v>
                </c:pt>
                <c:pt idx="25">
                  <c:v>2</c:v>
                </c:pt>
                <c:pt idx="26">
                  <c:v>3</c:v>
                </c:pt>
                <c:pt idx="27">
                  <c:v>6</c:v>
                </c:pt>
                <c:pt idx="28">
                  <c:v>4</c:v>
                </c:pt>
                <c:pt idx="29">
                  <c:v>5</c:v>
                </c:pt>
                <c:pt idx="30">
                  <c:v>5</c:v>
                </c:pt>
                <c:pt idx="31">
                  <c:v>2</c:v>
                </c:pt>
                <c:pt idx="32">
                  <c:v>6</c:v>
                </c:pt>
                <c:pt idx="33">
                  <c:v>5</c:v>
                </c:pt>
                <c:pt idx="34">
                  <c:v>2</c:v>
                </c:pt>
                <c:pt idx="35">
                  <c:v>6</c:v>
                </c:pt>
                <c:pt idx="36">
                  <c:v>5</c:v>
                </c:pt>
                <c:pt idx="37">
                  <c:v>2</c:v>
                </c:pt>
                <c:pt idx="38">
                  <c:v>4</c:v>
                </c:pt>
                <c:pt idx="39">
                  <c:v>4</c:v>
                </c:pt>
                <c:pt idx="40">
                  <c:v>4</c:v>
                </c:pt>
                <c:pt idx="41">
                  <c:v>2</c:v>
                </c:pt>
                <c:pt idx="42">
                  <c:v>6</c:v>
                </c:pt>
                <c:pt idx="43">
                  <c:v>5</c:v>
                </c:pt>
                <c:pt idx="44">
                  <c:v>4</c:v>
                </c:pt>
                <c:pt idx="45">
                  <c:v>6</c:v>
                </c:pt>
                <c:pt idx="46">
                  <c:v>3</c:v>
                </c:pt>
                <c:pt idx="47">
                  <c:v>2</c:v>
                </c:pt>
                <c:pt idx="48">
                  <c:v>6</c:v>
                </c:pt>
                <c:pt idx="49">
                  <c:v>3</c:v>
                </c:pt>
                <c:pt idx="50">
                  <c:v>5</c:v>
                </c:pt>
                <c:pt idx="51">
                  <c:v>2</c:v>
                </c:pt>
                <c:pt idx="52">
                  <c:v>4</c:v>
                </c:pt>
                <c:pt idx="53">
                  <c:v>4</c:v>
                </c:pt>
                <c:pt idx="54">
                  <c:v>5</c:v>
                </c:pt>
                <c:pt idx="55">
                  <c:v>2</c:v>
                </c:pt>
                <c:pt idx="56">
                  <c:v>5</c:v>
                </c:pt>
                <c:pt idx="57">
                  <c:v>6</c:v>
                </c:pt>
                <c:pt idx="58">
                  <c:v>3</c:v>
                </c:pt>
                <c:pt idx="59">
                  <c:v>2</c:v>
                </c:pt>
                <c:pt idx="60">
                  <c:v>3</c:v>
                </c:pt>
                <c:pt idx="61">
                  <c:v>4</c:v>
                </c:pt>
                <c:pt idx="62">
                  <c:v>4</c:v>
                </c:pt>
                <c:pt idx="63">
                  <c:v>4</c:v>
                </c:pt>
                <c:pt idx="64">
                  <c:v>5</c:v>
                </c:pt>
                <c:pt idx="65">
                  <c:v>4</c:v>
                </c:pt>
                <c:pt idx="66">
                  <c:v>5</c:v>
                </c:pt>
                <c:pt idx="67">
                  <c:v>4</c:v>
                </c:pt>
                <c:pt idx="68">
                  <c:v>4</c:v>
                </c:pt>
                <c:pt idx="69">
                  <c:v>4</c:v>
                </c:pt>
                <c:pt idx="70">
                  <c:v>5</c:v>
                </c:pt>
                <c:pt idx="71">
                  <c:v>4</c:v>
                </c:pt>
                <c:pt idx="72">
                  <c:v>4</c:v>
                </c:pt>
                <c:pt idx="73">
                  <c:v>2</c:v>
                </c:pt>
                <c:pt idx="74">
                  <c:v>4</c:v>
                </c:pt>
                <c:pt idx="75">
                  <c:v>5</c:v>
                </c:pt>
                <c:pt idx="76">
                  <c:v>5</c:v>
                </c:pt>
                <c:pt idx="77">
                  <c:v>5</c:v>
                </c:pt>
                <c:pt idx="78">
                  <c:v>4</c:v>
                </c:pt>
                <c:pt idx="79">
                  <c:v>4</c:v>
                </c:pt>
                <c:pt idx="80">
                  <c:v>3</c:v>
                </c:pt>
                <c:pt idx="81">
                  <c:v>2</c:v>
                </c:pt>
                <c:pt idx="82">
                  <c:v>6</c:v>
                </c:pt>
                <c:pt idx="83">
                  <c:v>5</c:v>
                </c:pt>
                <c:pt idx="84">
                  <c:v>6</c:v>
                </c:pt>
                <c:pt idx="85">
                  <c:v>5</c:v>
                </c:pt>
                <c:pt idx="86">
                  <c:v>3</c:v>
                </c:pt>
                <c:pt idx="87">
                  <c:v>3</c:v>
                </c:pt>
                <c:pt idx="88">
                  <c:v>6</c:v>
                </c:pt>
                <c:pt idx="89">
                  <c:v>2</c:v>
                </c:pt>
                <c:pt idx="90">
                  <c:v>4</c:v>
                </c:pt>
                <c:pt idx="91">
                  <c:v>4</c:v>
                </c:pt>
                <c:pt idx="92">
                  <c:v>5</c:v>
                </c:pt>
                <c:pt idx="93">
                  <c:v>2</c:v>
                </c:pt>
                <c:pt idx="94">
                  <c:v>4</c:v>
                </c:pt>
                <c:pt idx="95">
                  <c:v>6</c:v>
                </c:pt>
                <c:pt idx="96">
                  <c:v>5</c:v>
                </c:pt>
                <c:pt idx="97">
                  <c:v>6</c:v>
                </c:pt>
                <c:pt idx="98">
                  <c:v>5</c:v>
                </c:pt>
                <c:pt idx="99">
                  <c:v>2</c:v>
                </c:pt>
                <c:pt idx="100">
                  <c:v>3</c:v>
                </c:pt>
                <c:pt idx="101">
                  <c:v>5</c:v>
                </c:pt>
                <c:pt idx="102">
                  <c:v>5</c:v>
                </c:pt>
                <c:pt idx="103">
                  <c:v>3</c:v>
                </c:pt>
                <c:pt idx="104">
                  <c:v>6</c:v>
                </c:pt>
                <c:pt idx="105">
                  <c:v>2</c:v>
                </c:pt>
                <c:pt idx="106">
                  <c:v>2</c:v>
                </c:pt>
                <c:pt idx="107">
                  <c:v>2</c:v>
                </c:pt>
                <c:pt idx="108">
                  <c:v>6</c:v>
                </c:pt>
                <c:pt idx="109">
                  <c:v>4</c:v>
                </c:pt>
                <c:pt idx="110">
                  <c:v>2</c:v>
                </c:pt>
                <c:pt idx="111">
                  <c:v>3</c:v>
                </c:pt>
                <c:pt idx="112">
                  <c:v>3</c:v>
                </c:pt>
                <c:pt idx="113">
                  <c:v>5</c:v>
                </c:pt>
                <c:pt idx="114">
                  <c:v>4</c:v>
                </c:pt>
                <c:pt idx="115">
                  <c:v>6</c:v>
                </c:pt>
                <c:pt idx="116">
                  <c:v>5</c:v>
                </c:pt>
                <c:pt idx="117">
                  <c:v>4</c:v>
                </c:pt>
                <c:pt idx="118">
                  <c:v>6</c:v>
                </c:pt>
                <c:pt idx="119">
                  <c:v>2</c:v>
                </c:pt>
                <c:pt idx="120">
                  <c:v>2</c:v>
                </c:pt>
                <c:pt idx="121">
                  <c:v>6</c:v>
                </c:pt>
                <c:pt idx="122">
                  <c:v>4</c:v>
                </c:pt>
                <c:pt idx="123">
                  <c:v>4</c:v>
                </c:pt>
                <c:pt idx="124">
                  <c:v>2</c:v>
                </c:pt>
                <c:pt idx="125">
                  <c:v>6</c:v>
                </c:pt>
                <c:pt idx="126">
                  <c:v>6</c:v>
                </c:pt>
                <c:pt idx="127">
                  <c:v>3</c:v>
                </c:pt>
                <c:pt idx="128">
                  <c:v>5</c:v>
                </c:pt>
                <c:pt idx="129">
                  <c:v>4</c:v>
                </c:pt>
                <c:pt idx="130">
                  <c:v>2</c:v>
                </c:pt>
                <c:pt idx="131">
                  <c:v>6</c:v>
                </c:pt>
                <c:pt idx="132">
                  <c:v>5</c:v>
                </c:pt>
                <c:pt idx="133">
                  <c:v>3</c:v>
                </c:pt>
                <c:pt idx="134">
                  <c:v>2</c:v>
                </c:pt>
                <c:pt idx="135">
                  <c:v>5</c:v>
                </c:pt>
                <c:pt idx="136">
                  <c:v>3</c:v>
                </c:pt>
                <c:pt idx="137">
                  <c:v>2</c:v>
                </c:pt>
                <c:pt idx="138">
                  <c:v>6</c:v>
                </c:pt>
                <c:pt idx="139">
                  <c:v>5</c:v>
                </c:pt>
                <c:pt idx="140">
                  <c:v>6</c:v>
                </c:pt>
                <c:pt idx="141">
                  <c:v>6</c:v>
                </c:pt>
                <c:pt idx="142">
                  <c:v>4</c:v>
                </c:pt>
                <c:pt idx="143">
                  <c:v>3</c:v>
                </c:pt>
                <c:pt idx="144">
                  <c:v>4</c:v>
                </c:pt>
                <c:pt idx="145">
                  <c:v>5</c:v>
                </c:pt>
                <c:pt idx="146">
                  <c:v>2</c:v>
                </c:pt>
                <c:pt idx="147">
                  <c:v>2</c:v>
                </c:pt>
                <c:pt idx="148">
                  <c:v>3</c:v>
                </c:pt>
                <c:pt idx="149">
                  <c:v>2</c:v>
                </c:pt>
                <c:pt idx="150">
                  <c:v>3</c:v>
                </c:pt>
                <c:pt idx="151">
                  <c:v>2</c:v>
                </c:pt>
                <c:pt idx="152">
                  <c:v>2</c:v>
                </c:pt>
                <c:pt idx="153">
                  <c:v>2</c:v>
                </c:pt>
                <c:pt idx="154">
                  <c:v>5</c:v>
                </c:pt>
                <c:pt idx="155">
                  <c:v>3</c:v>
                </c:pt>
                <c:pt idx="156">
                  <c:v>5</c:v>
                </c:pt>
                <c:pt idx="157">
                  <c:v>5</c:v>
                </c:pt>
                <c:pt idx="158">
                  <c:v>2</c:v>
                </c:pt>
                <c:pt idx="159">
                  <c:v>6</c:v>
                </c:pt>
                <c:pt idx="160">
                  <c:v>2</c:v>
                </c:pt>
                <c:pt idx="161">
                  <c:v>2</c:v>
                </c:pt>
                <c:pt idx="162">
                  <c:v>4</c:v>
                </c:pt>
                <c:pt idx="163">
                  <c:v>4</c:v>
                </c:pt>
                <c:pt idx="164">
                  <c:v>5</c:v>
                </c:pt>
                <c:pt idx="165">
                  <c:v>5</c:v>
                </c:pt>
                <c:pt idx="166">
                  <c:v>6</c:v>
                </c:pt>
                <c:pt idx="167">
                  <c:v>4</c:v>
                </c:pt>
                <c:pt idx="168">
                  <c:v>6</c:v>
                </c:pt>
                <c:pt idx="169">
                  <c:v>3</c:v>
                </c:pt>
                <c:pt idx="170">
                  <c:v>6</c:v>
                </c:pt>
                <c:pt idx="171">
                  <c:v>3</c:v>
                </c:pt>
                <c:pt idx="172">
                  <c:v>3</c:v>
                </c:pt>
                <c:pt idx="173">
                  <c:v>6</c:v>
                </c:pt>
                <c:pt idx="174">
                  <c:v>4</c:v>
                </c:pt>
                <c:pt idx="175">
                  <c:v>3</c:v>
                </c:pt>
                <c:pt idx="176">
                  <c:v>5</c:v>
                </c:pt>
                <c:pt idx="177">
                  <c:v>6</c:v>
                </c:pt>
                <c:pt idx="178">
                  <c:v>3</c:v>
                </c:pt>
                <c:pt idx="179">
                  <c:v>5</c:v>
                </c:pt>
                <c:pt idx="180">
                  <c:v>6</c:v>
                </c:pt>
                <c:pt idx="181">
                  <c:v>6</c:v>
                </c:pt>
                <c:pt idx="182">
                  <c:v>2</c:v>
                </c:pt>
                <c:pt idx="183">
                  <c:v>2</c:v>
                </c:pt>
                <c:pt idx="184">
                  <c:v>2</c:v>
                </c:pt>
                <c:pt idx="185">
                  <c:v>6</c:v>
                </c:pt>
                <c:pt idx="186">
                  <c:v>6</c:v>
                </c:pt>
                <c:pt idx="187">
                  <c:v>6</c:v>
                </c:pt>
                <c:pt idx="188">
                  <c:v>4</c:v>
                </c:pt>
                <c:pt idx="189">
                  <c:v>3</c:v>
                </c:pt>
                <c:pt idx="190">
                  <c:v>3</c:v>
                </c:pt>
                <c:pt idx="191">
                  <c:v>5</c:v>
                </c:pt>
                <c:pt idx="192">
                  <c:v>5</c:v>
                </c:pt>
                <c:pt idx="193">
                  <c:v>4</c:v>
                </c:pt>
                <c:pt idx="194">
                  <c:v>4</c:v>
                </c:pt>
                <c:pt idx="195">
                  <c:v>6</c:v>
                </c:pt>
                <c:pt idx="196">
                  <c:v>6</c:v>
                </c:pt>
                <c:pt idx="197">
                  <c:v>4</c:v>
                </c:pt>
                <c:pt idx="198">
                  <c:v>3</c:v>
                </c:pt>
                <c:pt idx="199">
                  <c:v>6</c:v>
                </c:pt>
                <c:pt idx="200">
                  <c:v>4</c:v>
                </c:pt>
                <c:pt idx="201">
                  <c:v>3</c:v>
                </c:pt>
                <c:pt idx="202">
                  <c:v>3</c:v>
                </c:pt>
                <c:pt idx="203">
                  <c:v>4</c:v>
                </c:pt>
                <c:pt idx="204">
                  <c:v>2</c:v>
                </c:pt>
                <c:pt idx="205">
                  <c:v>2</c:v>
                </c:pt>
                <c:pt idx="206">
                  <c:v>5</c:v>
                </c:pt>
                <c:pt idx="207">
                  <c:v>6</c:v>
                </c:pt>
                <c:pt idx="208">
                  <c:v>4</c:v>
                </c:pt>
                <c:pt idx="209">
                  <c:v>6</c:v>
                </c:pt>
                <c:pt idx="210">
                  <c:v>6</c:v>
                </c:pt>
                <c:pt idx="211">
                  <c:v>2</c:v>
                </c:pt>
                <c:pt idx="212">
                  <c:v>4</c:v>
                </c:pt>
                <c:pt idx="213">
                  <c:v>2</c:v>
                </c:pt>
                <c:pt idx="214">
                  <c:v>5</c:v>
                </c:pt>
                <c:pt idx="215">
                  <c:v>2</c:v>
                </c:pt>
                <c:pt idx="216">
                  <c:v>2</c:v>
                </c:pt>
                <c:pt idx="217">
                  <c:v>4</c:v>
                </c:pt>
                <c:pt idx="218">
                  <c:v>2</c:v>
                </c:pt>
                <c:pt idx="219">
                  <c:v>2</c:v>
                </c:pt>
                <c:pt idx="220">
                  <c:v>4</c:v>
                </c:pt>
                <c:pt idx="221">
                  <c:v>2</c:v>
                </c:pt>
                <c:pt idx="222">
                  <c:v>3</c:v>
                </c:pt>
                <c:pt idx="223">
                  <c:v>3</c:v>
                </c:pt>
                <c:pt idx="224">
                  <c:v>6</c:v>
                </c:pt>
                <c:pt idx="225">
                  <c:v>2</c:v>
                </c:pt>
                <c:pt idx="226">
                  <c:v>5</c:v>
                </c:pt>
                <c:pt idx="227">
                  <c:v>5</c:v>
                </c:pt>
                <c:pt idx="228">
                  <c:v>3</c:v>
                </c:pt>
                <c:pt idx="229">
                  <c:v>3</c:v>
                </c:pt>
                <c:pt idx="230">
                  <c:v>2</c:v>
                </c:pt>
                <c:pt idx="231">
                  <c:v>3</c:v>
                </c:pt>
                <c:pt idx="232">
                  <c:v>6</c:v>
                </c:pt>
                <c:pt idx="233">
                  <c:v>3</c:v>
                </c:pt>
                <c:pt idx="234">
                  <c:v>6</c:v>
                </c:pt>
                <c:pt idx="235">
                  <c:v>3</c:v>
                </c:pt>
                <c:pt idx="236">
                  <c:v>2</c:v>
                </c:pt>
                <c:pt idx="237">
                  <c:v>2</c:v>
                </c:pt>
                <c:pt idx="238">
                  <c:v>3</c:v>
                </c:pt>
                <c:pt idx="239">
                  <c:v>2</c:v>
                </c:pt>
                <c:pt idx="240">
                  <c:v>6</c:v>
                </c:pt>
                <c:pt idx="241">
                  <c:v>6</c:v>
                </c:pt>
                <c:pt idx="242">
                  <c:v>4</c:v>
                </c:pt>
                <c:pt idx="243">
                  <c:v>4</c:v>
                </c:pt>
                <c:pt idx="244">
                  <c:v>4</c:v>
                </c:pt>
                <c:pt idx="245">
                  <c:v>2</c:v>
                </c:pt>
                <c:pt idx="246">
                  <c:v>2</c:v>
                </c:pt>
                <c:pt idx="247">
                  <c:v>2</c:v>
                </c:pt>
                <c:pt idx="248">
                  <c:v>6</c:v>
                </c:pt>
                <c:pt idx="249">
                  <c:v>2</c:v>
                </c:pt>
                <c:pt idx="250">
                  <c:v>6</c:v>
                </c:pt>
                <c:pt idx="251">
                  <c:v>5</c:v>
                </c:pt>
                <c:pt idx="252">
                  <c:v>5</c:v>
                </c:pt>
                <c:pt idx="253">
                  <c:v>6</c:v>
                </c:pt>
                <c:pt idx="254">
                  <c:v>5</c:v>
                </c:pt>
                <c:pt idx="255">
                  <c:v>3</c:v>
                </c:pt>
                <c:pt idx="256">
                  <c:v>6</c:v>
                </c:pt>
                <c:pt idx="257">
                  <c:v>6</c:v>
                </c:pt>
                <c:pt idx="258">
                  <c:v>3</c:v>
                </c:pt>
                <c:pt idx="259">
                  <c:v>6</c:v>
                </c:pt>
                <c:pt idx="260">
                  <c:v>3</c:v>
                </c:pt>
                <c:pt idx="261">
                  <c:v>2</c:v>
                </c:pt>
                <c:pt idx="262">
                  <c:v>3</c:v>
                </c:pt>
                <c:pt idx="263">
                  <c:v>3</c:v>
                </c:pt>
                <c:pt idx="264">
                  <c:v>3</c:v>
                </c:pt>
                <c:pt idx="265">
                  <c:v>5</c:v>
                </c:pt>
                <c:pt idx="266">
                  <c:v>6</c:v>
                </c:pt>
                <c:pt idx="267">
                  <c:v>4</c:v>
                </c:pt>
                <c:pt idx="268">
                  <c:v>2</c:v>
                </c:pt>
                <c:pt idx="269">
                  <c:v>6</c:v>
                </c:pt>
                <c:pt idx="270">
                  <c:v>5</c:v>
                </c:pt>
                <c:pt idx="271">
                  <c:v>6</c:v>
                </c:pt>
                <c:pt idx="272">
                  <c:v>3</c:v>
                </c:pt>
                <c:pt idx="273">
                  <c:v>5</c:v>
                </c:pt>
                <c:pt idx="274">
                  <c:v>2</c:v>
                </c:pt>
                <c:pt idx="275">
                  <c:v>4</c:v>
                </c:pt>
                <c:pt idx="276">
                  <c:v>3</c:v>
                </c:pt>
                <c:pt idx="277">
                  <c:v>6</c:v>
                </c:pt>
                <c:pt idx="278">
                  <c:v>4</c:v>
                </c:pt>
                <c:pt idx="279">
                  <c:v>2</c:v>
                </c:pt>
                <c:pt idx="280">
                  <c:v>3</c:v>
                </c:pt>
                <c:pt idx="281">
                  <c:v>3</c:v>
                </c:pt>
                <c:pt idx="282">
                  <c:v>2</c:v>
                </c:pt>
                <c:pt idx="283">
                  <c:v>2</c:v>
                </c:pt>
                <c:pt idx="284">
                  <c:v>6</c:v>
                </c:pt>
                <c:pt idx="285">
                  <c:v>6</c:v>
                </c:pt>
                <c:pt idx="286">
                  <c:v>5</c:v>
                </c:pt>
                <c:pt idx="287">
                  <c:v>4</c:v>
                </c:pt>
                <c:pt idx="288">
                  <c:v>6</c:v>
                </c:pt>
                <c:pt idx="289">
                  <c:v>3</c:v>
                </c:pt>
                <c:pt idx="290">
                  <c:v>4</c:v>
                </c:pt>
                <c:pt idx="291">
                  <c:v>4</c:v>
                </c:pt>
                <c:pt idx="292">
                  <c:v>3</c:v>
                </c:pt>
                <c:pt idx="293">
                  <c:v>6</c:v>
                </c:pt>
                <c:pt idx="294">
                  <c:v>6</c:v>
                </c:pt>
                <c:pt idx="295">
                  <c:v>5</c:v>
                </c:pt>
                <c:pt idx="296">
                  <c:v>6</c:v>
                </c:pt>
                <c:pt idx="297">
                  <c:v>6</c:v>
                </c:pt>
                <c:pt idx="298">
                  <c:v>5</c:v>
                </c:pt>
                <c:pt idx="299">
                  <c:v>2</c:v>
                </c:pt>
                <c:pt idx="300">
                  <c:v>6</c:v>
                </c:pt>
                <c:pt idx="301">
                  <c:v>3</c:v>
                </c:pt>
                <c:pt idx="302">
                  <c:v>6</c:v>
                </c:pt>
                <c:pt idx="303">
                  <c:v>5</c:v>
                </c:pt>
                <c:pt idx="304">
                  <c:v>3</c:v>
                </c:pt>
                <c:pt idx="305">
                  <c:v>2</c:v>
                </c:pt>
                <c:pt idx="306">
                  <c:v>5</c:v>
                </c:pt>
                <c:pt idx="307">
                  <c:v>6</c:v>
                </c:pt>
                <c:pt idx="308">
                  <c:v>4</c:v>
                </c:pt>
                <c:pt idx="309">
                  <c:v>2</c:v>
                </c:pt>
                <c:pt idx="310">
                  <c:v>5</c:v>
                </c:pt>
                <c:pt idx="311">
                  <c:v>3</c:v>
                </c:pt>
                <c:pt idx="312">
                  <c:v>5</c:v>
                </c:pt>
                <c:pt idx="313">
                  <c:v>2</c:v>
                </c:pt>
                <c:pt idx="314">
                  <c:v>3</c:v>
                </c:pt>
                <c:pt idx="315">
                  <c:v>2</c:v>
                </c:pt>
                <c:pt idx="316">
                  <c:v>6</c:v>
                </c:pt>
                <c:pt idx="317">
                  <c:v>5</c:v>
                </c:pt>
                <c:pt idx="318">
                  <c:v>2</c:v>
                </c:pt>
                <c:pt idx="319">
                  <c:v>5</c:v>
                </c:pt>
                <c:pt idx="320">
                  <c:v>5</c:v>
                </c:pt>
                <c:pt idx="321">
                  <c:v>2</c:v>
                </c:pt>
                <c:pt idx="322">
                  <c:v>4</c:v>
                </c:pt>
                <c:pt idx="323">
                  <c:v>3</c:v>
                </c:pt>
                <c:pt idx="324">
                  <c:v>3</c:v>
                </c:pt>
                <c:pt idx="325">
                  <c:v>3</c:v>
                </c:pt>
                <c:pt idx="326">
                  <c:v>3</c:v>
                </c:pt>
                <c:pt idx="327">
                  <c:v>4</c:v>
                </c:pt>
                <c:pt idx="328">
                  <c:v>2</c:v>
                </c:pt>
                <c:pt idx="329">
                  <c:v>3</c:v>
                </c:pt>
                <c:pt idx="330">
                  <c:v>3</c:v>
                </c:pt>
                <c:pt idx="331">
                  <c:v>3</c:v>
                </c:pt>
                <c:pt idx="332">
                  <c:v>4</c:v>
                </c:pt>
                <c:pt idx="333">
                  <c:v>5</c:v>
                </c:pt>
                <c:pt idx="334">
                  <c:v>6</c:v>
                </c:pt>
                <c:pt idx="335">
                  <c:v>2</c:v>
                </c:pt>
                <c:pt idx="336">
                  <c:v>3</c:v>
                </c:pt>
                <c:pt idx="337">
                  <c:v>2</c:v>
                </c:pt>
                <c:pt idx="338">
                  <c:v>4</c:v>
                </c:pt>
                <c:pt idx="339">
                  <c:v>5</c:v>
                </c:pt>
                <c:pt idx="340">
                  <c:v>5</c:v>
                </c:pt>
                <c:pt idx="341">
                  <c:v>3</c:v>
                </c:pt>
                <c:pt idx="342">
                  <c:v>6</c:v>
                </c:pt>
                <c:pt idx="343">
                  <c:v>4</c:v>
                </c:pt>
                <c:pt idx="344">
                  <c:v>4</c:v>
                </c:pt>
                <c:pt idx="345">
                  <c:v>5</c:v>
                </c:pt>
                <c:pt idx="346">
                  <c:v>3</c:v>
                </c:pt>
                <c:pt idx="347">
                  <c:v>6</c:v>
                </c:pt>
                <c:pt idx="348">
                  <c:v>6</c:v>
                </c:pt>
                <c:pt idx="349">
                  <c:v>2</c:v>
                </c:pt>
                <c:pt idx="350">
                  <c:v>2</c:v>
                </c:pt>
                <c:pt idx="351">
                  <c:v>5</c:v>
                </c:pt>
                <c:pt idx="352">
                  <c:v>6</c:v>
                </c:pt>
                <c:pt idx="353">
                  <c:v>3</c:v>
                </c:pt>
                <c:pt idx="354">
                  <c:v>2</c:v>
                </c:pt>
                <c:pt idx="355">
                  <c:v>2</c:v>
                </c:pt>
                <c:pt idx="356">
                  <c:v>6</c:v>
                </c:pt>
                <c:pt idx="357">
                  <c:v>3</c:v>
                </c:pt>
                <c:pt idx="358">
                  <c:v>6</c:v>
                </c:pt>
                <c:pt idx="359">
                  <c:v>3</c:v>
                </c:pt>
                <c:pt idx="360">
                  <c:v>5</c:v>
                </c:pt>
                <c:pt idx="361">
                  <c:v>5</c:v>
                </c:pt>
                <c:pt idx="362">
                  <c:v>3</c:v>
                </c:pt>
                <c:pt idx="363">
                  <c:v>5</c:v>
                </c:pt>
                <c:pt idx="364">
                  <c:v>6</c:v>
                </c:pt>
                <c:pt idx="365">
                  <c:v>2</c:v>
                </c:pt>
                <c:pt idx="366">
                  <c:v>6</c:v>
                </c:pt>
                <c:pt idx="367">
                  <c:v>4</c:v>
                </c:pt>
                <c:pt idx="368">
                  <c:v>4</c:v>
                </c:pt>
                <c:pt idx="369">
                  <c:v>5</c:v>
                </c:pt>
                <c:pt idx="370">
                  <c:v>3</c:v>
                </c:pt>
                <c:pt idx="371">
                  <c:v>4</c:v>
                </c:pt>
                <c:pt idx="372">
                  <c:v>2</c:v>
                </c:pt>
                <c:pt idx="373">
                  <c:v>6</c:v>
                </c:pt>
                <c:pt idx="374">
                  <c:v>6</c:v>
                </c:pt>
                <c:pt idx="375">
                  <c:v>2</c:v>
                </c:pt>
                <c:pt idx="376">
                  <c:v>4</c:v>
                </c:pt>
                <c:pt idx="377">
                  <c:v>3</c:v>
                </c:pt>
                <c:pt idx="378">
                  <c:v>3</c:v>
                </c:pt>
                <c:pt idx="379">
                  <c:v>5</c:v>
                </c:pt>
                <c:pt idx="380">
                  <c:v>5</c:v>
                </c:pt>
                <c:pt idx="381">
                  <c:v>2</c:v>
                </c:pt>
                <c:pt idx="382">
                  <c:v>2</c:v>
                </c:pt>
                <c:pt idx="383">
                  <c:v>5</c:v>
                </c:pt>
                <c:pt idx="384">
                  <c:v>6</c:v>
                </c:pt>
                <c:pt idx="385">
                  <c:v>2</c:v>
                </c:pt>
                <c:pt idx="386">
                  <c:v>3</c:v>
                </c:pt>
                <c:pt idx="387">
                  <c:v>5</c:v>
                </c:pt>
                <c:pt idx="388">
                  <c:v>4</c:v>
                </c:pt>
                <c:pt idx="389">
                  <c:v>4</c:v>
                </c:pt>
                <c:pt idx="390">
                  <c:v>2</c:v>
                </c:pt>
                <c:pt idx="391">
                  <c:v>2</c:v>
                </c:pt>
                <c:pt idx="392">
                  <c:v>4</c:v>
                </c:pt>
                <c:pt idx="393">
                  <c:v>5</c:v>
                </c:pt>
                <c:pt idx="394">
                  <c:v>6</c:v>
                </c:pt>
                <c:pt idx="395">
                  <c:v>6</c:v>
                </c:pt>
                <c:pt idx="396">
                  <c:v>5</c:v>
                </c:pt>
                <c:pt idx="397">
                  <c:v>3</c:v>
                </c:pt>
                <c:pt idx="398">
                  <c:v>6</c:v>
                </c:pt>
                <c:pt idx="399">
                  <c:v>6</c:v>
                </c:pt>
                <c:pt idx="400">
                  <c:v>3</c:v>
                </c:pt>
                <c:pt idx="401">
                  <c:v>3</c:v>
                </c:pt>
                <c:pt idx="402">
                  <c:v>5</c:v>
                </c:pt>
                <c:pt idx="403">
                  <c:v>5</c:v>
                </c:pt>
                <c:pt idx="404">
                  <c:v>2</c:v>
                </c:pt>
                <c:pt idx="405">
                  <c:v>3</c:v>
                </c:pt>
                <c:pt idx="406">
                  <c:v>6</c:v>
                </c:pt>
                <c:pt idx="407">
                  <c:v>2</c:v>
                </c:pt>
                <c:pt idx="408">
                  <c:v>5</c:v>
                </c:pt>
                <c:pt idx="409">
                  <c:v>6</c:v>
                </c:pt>
                <c:pt idx="410">
                  <c:v>6</c:v>
                </c:pt>
                <c:pt idx="411">
                  <c:v>6</c:v>
                </c:pt>
                <c:pt idx="412">
                  <c:v>6</c:v>
                </c:pt>
                <c:pt idx="413">
                  <c:v>5</c:v>
                </c:pt>
                <c:pt idx="414">
                  <c:v>4</c:v>
                </c:pt>
                <c:pt idx="415">
                  <c:v>3</c:v>
                </c:pt>
                <c:pt idx="416">
                  <c:v>3</c:v>
                </c:pt>
                <c:pt idx="417">
                  <c:v>3</c:v>
                </c:pt>
                <c:pt idx="418">
                  <c:v>5</c:v>
                </c:pt>
                <c:pt idx="419">
                  <c:v>5</c:v>
                </c:pt>
                <c:pt idx="420">
                  <c:v>4</c:v>
                </c:pt>
                <c:pt idx="421">
                  <c:v>3</c:v>
                </c:pt>
                <c:pt idx="422">
                  <c:v>4</c:v>
                </c:pt>
                <c:pt idx="423">
                  <c:v>3</c:v>
                </c:pt>
                <c:pt idx="424">
                  <c:v>3</c:v>
                </c:pt>
                <c:pt idx="425">
                  <c:v>5</c:v>
                </c:pt>
                <c:pt idx="426">
                  <c:v>5</c:v>
                </c:pt>
                <c:pt idx="427">
                  <c:v>4</c:v>
                </c:pt>
                <c:pt idx="428">
                  <c:v>3</c:v>
                </c:pt>
                <c:pt idx="429">
                  <c:v>4</c:v>
                </c:pt>
                <c:pt idx="430">
                  <c:v>4</c:v>
                </c:pt>
                <c:pt idx="431">
                  <c:v>3</c:v>
                </c:pt>
                <c:pt idx="432">
                  <c:v>2</c:v>
                </c:pt>
                <c:pt idx="433">
                  <c:v>4</c:v>
                </c:pt>
                <c:pt idx="434">
                  <c:v>3</c:v>
                </c:pt>
                <c:pt idx="435">
                  <c:v>2</c:v>
                </c:pt>
                <c:pt idx="436">
                  <c:v>3</c:v>
                </c:pt>
                <c:pt idx="437">
                  <c:v>3</c:v>
                </c:pt>
                <c:pt idx="438">
                  <c:v>5</c:v>
                </c:pt>
                <c:pt idx="439">
                  <c:v>3</c:v>
                </c:pt>
                <c:pt idx="440">
                  <c:v>6</c:v>
                </c:pt>
                <c:pt idx="441">
                  <c:v>4</c:v>
                </c:pt>
                <c:pt idx="442">
                  <c:v>3</c:v>
                </c:pt>
                <c:pt idx="443">
                  <c:v>5</c:v>
                </c:pt>
                <c:pt idx="444">
                  <c:v>2</c:v>
                </c:pt>
                <c:pt idx="445">
                  <c:v>3</c:v>
                </c:pt>
                <c:pt idx="446">
                  <c:v>5</c:v>
                </c:pt>
                <c:pt idx="447">
                  <c:v>4</c:v>
                </c:pt>
                <c:pt idx="448">
                  <c:v>5</c:v>
                </c:pt>
                <c:pt idx="449">
                  <c:v>3</c:v>
                </c:pt>
                <c:pt idx="450">
                  <c:v>3</c:v>
                </c:pt>
                <c:pt idx="451">
                  <c:v>5</c:v>
                </c:pt>
                <c:pt idx="452">
                  <c:v>4</c:v>
                </c:pt>
                <c:pt idx="453">
                  <c:v>2</c:v>
                </c:pt>
                <c:pt idx="454">
                  <c:v>6</c:v>
                </c:pt>
                <c:pt idx="455">
                  <c:v>5</c:v>
                </c:pt>
                <c:pt idx="456">
                  <c:v>5</c:v>
                </c:pt>
                <c:pt idx="457">
                  <c:v>4</c:v>
                </c:pt>
                <c:pt idx="458">
                  <c:v>2</c:v>
                </c:pt>
                <c:pt idx="459">
                  <c:v>5</c:v>
                </c:pt>
                <c:pt idx="460">
                  <c:v>4</c:v>
                </c:pt>
                <c:pt idx="461">
                  <c:v>6</c:v>
                </c:pt>
                <c:pt idx="462">
                  <c:v>3</c:v>
                </c:pt>
                <c:pt idx="463">
                  <c:v>6</c:v>
                </c:pt>
                <c:pt idx="464">
                  <c:v>3</c:v>
                </c:pt>
                <c:pt idx="465">
                  <c:v>6</c:v>
                </c:pt>
                <c:pt idx="466">
                  <c:v>4</c:v>
                </c:pt>
                <c:pt idx="467">
                  <c:v>4</c:v>
                </c:pt>
                <c:pt idx="468">
                  <c:v>6</c:v>
                </c:pt>
                <c:pt idx="469">
                  <c:v>4</c:v>
                </c:pt>
                <c:pt idx="470">
                  <c:v>4</c:v>
                </c:pt>
                <c:pt idx="471">
                  <c:v>3</c:v>
                </c:pt>
                <c:pt idx="472">
                  <c:v>6</c:v>
                </c:pt>
                <c:pt idx="473">
                  <c:v>4</c:v>
                </c:pt>
                <c:pt idx="474">
                  <c:v>4</c:v>
                </c:pt>
                <c:pt idx="475">
                  <c:v>4</c:v>
                </c:pt>
                <c:pt idx="476">
                  <c:v>2</c:v>
                </c:pt>
                <c:pt idx="477">
                  <c:v>4</c:v>
                </c:pt>
                <c:pt idx="478">
                  <c:v>5</c:v>
                </c:pt>
                <c:pt idx="479">
                  <c:v>5</c:v>
                </c:pt>
                <c:pt idx="480">
                  <c:v>4</c:v>
                </c:pt>
                <c:pt idx="481">
                  <c:v>2</c:v>
                </c:pt>
                <c:pt idx="482">
                  <c:v>6</c:v>
                </c:pt>
                <c:pt idx="483">
                  <c:v>5</c:v>
                </c:pt>
                <c:pt idx="484">
                  <c:v>4</c:v>
                </c:pt>
                <c:pt idx="485">
                  <c:v>6</c:v>
                </c:pt>
                <c:pt idx="486">
                  <c:v>4</c:v>
                </c:pt>
                <c:pt idx="487">
                  <c:v>5</c:v>
                </c:pt>
                <c:pt idx="488">
                  <c:v>4</c:v>
                </c:pt>
                <c:pt idx="489">
                  <c:v>2</c:v>
                </c:pt>
                <c:pt idx="490">
                  <c:v>4</c:v>
                </c:pt>
                <c:pt idx="491">
                  <c:v>5</c:v>
                </c:pt>
                <c:pt idx="492">
                  <c:v>6</c:v>
                </c:pt>
                <c:pt idx="493">
                  <c:v>3</c:v>
                </c:pt>
                <c:pt idx="494">
                  <c:v>3</c:v>
                </c:pt>
                <c:pt idx="495">
                  <c:v>6</c:v>
                </c:pt>
                <c:pt idx="496">
                  <c:v>5</c:v>
                </c:pt>
                <c:pt idx="497">
                  <c:v>2</c:v>
                </c:pt>
                <c:pt idx="498">
                  <c:v>3</c:v>
                </c:pt>
                <c:pt idx="499">
                  <c:v>5</c:v>
                </c:pt>
                <c:pt idx="500">
                  <c:v>3</c:v>
                </c:pt>
                <c:pt idx="501">
                  <c:v>5</c:v>
                </c:pt>
                <c:pt idx="502">
                  <c:v>4</c:v>
                </c:pt>
                <c:pt idx="503">
                  <c:v>5</c:v>
                </c:pt>
                <c:pt idx="504">
                  <c:v>6</c:v>
                </c:pt>
                <c:pt idx="505">
                  <c:v>4</c:v>
                </c:pt>
                <c:pt idx="506">
                  <c:v>6</c:v>
                </c:pt>
                <c:pt idx="507">
                  <c:v>5</c:v>
                </c:pt>
                <c:pt idx="508">
                  <c:v>2</c:v>
                </c:pt>
                <c:pt idx="509">
                  <c:v>3</c:v>
                </c:pt>
                <c:pt idx="510">
                  <c:v>3</c:v>
                </c:pt>
                <c:pt idx="511">
                  <c:v>3</c:v>
                </c:pt>
                <c:pt idx="512">
                  <c:v>6</c:v>
                </c:pt>
                <c:pt idx="513">
                  <c:v>3</c:v>
                </c:pt>
                <c:pt idx="514">
                  <c:v>6</c:v>
                </c:pt>
                <c:pt idx="515">
                  <c:v>2</c:v>
                </c:pt>
                <c:pt idx="516">
                  <c:v>5</c:v>
                </c:pt>
                <c:pt idx="517">
                  <c:v>2</c:v>
                </c:pt>
                <c:pt idx="518">
                  <c:v>5</c:v>
                </c:pt>
                <c:pt idx="519">
                  <c:v>3</c:v>
                </c:pt>
                <c:pt idx="520">
                  <c:v>2</c:v>
                </c:pt>
                <c:pt idx="521">
                  <c:v>4</c:v>
                </c:pt>
                <c:pt idx="522">
                  <c:v>6</c:v>
                </c:pt>
                <c:pt idx="523">
                  <c:v>3</c:v>
                </c:pt>
                <c:pt idx="524">
                  <c:v>3</c:v>
                </c:pt>
                <c:pt idx="525">
                  <c:v>4</c:v>
                </c:pt>
                <c:pt idx="526">
                  <c:v>6</c:v>
                </c:pt>
                <c:pt idx="527">
                  <c:v>2</c:v>
                </c:pt>
                <c:pt idx="528">
                  <c:v>2</c:v>
                </c:pt>
                <c:pt idx="529">
                  <c:v>5</c:v>
                </c:pt>
                <c:pt idx="530">
                  <c:v>4</c:v>
                </c:pt>
                <c:pt idx="531">
                  <c:v>4</c:v>
                </c:pt>
                <c:pt idx="532">
                  <c:v>3</c:v>
                </c:pt>
                <c:pt idx="533">
                  <c:v>6</c:v>
                </c:pt>
                <c:pt idx="534">
                  <c:v>5</c:v>
                </c:pt>
                <c:pt idx="535">
                  <c:v>4</c:v>
                </c:pt>
                <c:pt idx="536">
                  <c:v>6</c:v>
                </c:pt>
                <c:pt idx="537">
                  <c:v>4</c:v>
                </c:pt>
                <c:pt idx="538">
                  <c:v>5</c:v>
                </c:pt>
                <c:pt idx="539">
                  <c:v>6</c:v>
                </c:pt>
                <c:pt idx="540">
                  <c:v>5</c:v>
                </c:pt>
                <c:pt idx="541">
                  <c:v>5</c:v>
                </c:pt>
                <c:pt idx="542">
                  <c:v>6</c:v>
                </c:pt>
                <c:pt idx="543">
                  <c:v>5</c:v>
                </c:pt>
                <c:pt idx="544">
                  <c:v>6</c:v>
                </c:pt>
                <c:pt idx="545">
                  <c:v>5</c:v>
                </c:pt>
                <c:pt idx="546">
                  <c:v>5</c:v>
                </c:pt>
                <c:pt idx="547">
                  <c:v>4</c:v>
                </c:pt>
                <c:pt idx="548">
                  <c:v>4</c:v>
                </c:pt>
                <c:pt idx="549">
                  <c:v>4</c:v>
                </c:pt>
                <c:pt idx="550">
                  <c:v>3</c:v>
                </c:pt>
                <c:pt idx="551">
                  <c:v>3</c:v>
                </c:pt>
                <c:pt idx="552">
                  <c:v>5</c:v>
                </c:pt>
                <c:pt idx="553">
                  <c:v>6</c:v>
                </c:pt>
                <c:pt idx="554">
                  <c:v>5</c:v>
                </c:pt>
                <c:pt idx="555">
                  <c:v>3</c:v>
                </c:pt>
                <c:pt idx="556">
                  <c:v>2</c:v>
                </c:pt>
                <c:pt idx="557">
                  <c:v>2</c:v>
                </c:pt>
                <c:pt idx="558">
                  <c:v>2</c:v>
                </c:pt>
                <c:pt idx="559">
                  <c:v>4</c:v>
                </c:pt>
                <c:pt idx="560">
                  <c:v>4</c:v>
                </c:pt>
                <c:pt idx="561">
                  <c:v>4</c:v>
                </c:pt>
                <c:pt idx="562">
                  <c:v>3</c:v>
                </c:pt>
                <c:pt idx="563">
                  <c:v>6</c:v>
                </c:pt>
                <c:pt idx="564">
                  <c:v>5</c:v>
                </c:pt>
                <c:pt idx="565">
                  <c:v>6</c:v>
                </c:pt>
                <c:pt idx="566">
                  <c:v>3</c:v>
                </c:pt>
                <c:pt idx="567">
                  <c:v>4</c:v>
                </c:pt>
                <c:pt idx="568">
                  <c:v>5</c:v>
                </c:pt>
                <c:pt idx="569">
                  <c:v>2</c:v>
                </c:pt>
                <c:pt idx="570">
                  <c:v>2</c:v>
                </c:pt>
                <c:pt idx="571">
                  <c:v>2</c:v>
                </c:pt>
                <c:pt idx="572">
                  <c:v>5</c:v>
                </c:pt>
                <c:pt idx="573">
                  <c:v>2</c:v>
                </c:pt>
                <c:pt idx="574">
                  <c:v>5</c:v>
                </c:pt>
                <c:pt idx="575">
                  <c:v>2</c:v>
                </c:pt>
                <c:pt idx="576">
                  <c:v>6</c:v>
                </c:pt>
                <c:pt idx="577">
                  <c:v>4</c:v>
                </c:pt>
                <c:pt idx="578">
                  <c:v>6</c:v>
                </c:pt>
                <c:pt idx="579">
                  <c:v>4</c:v>
                </c:pt>
                <c:pt idx="580">
                  <c:v>6</c:v>
                </c:pt>
                <c:pt idx="581">
                  <c:v>5</c:v>
                </c:pt>
                <c:pt idx="582">
                  <c:v>5</c:v>
                </c:pt>
                <c:pt idx="583">
                  <c:v>3</c:v>
                </c:pt>
                <c:pt idx="584">
                  <c:v>5</c:v>
                </c:pt>
                <c:pt idx="585">
                  <c:v>2</c:v>
                </c:pt>
                <c:pt idx="586">
                  <c:v>3</c:v>
                </c:pt>
                <c:pt idx="587">
                  <c:v>6</c:v>
                </c:pt>
                <c:pt idx="588">
                  <c:v>5</c:v>
                </c:pt>
                <c:pt idx="589">
                  <c:v>3</c:v>
                </c:pt>
                <c:pt idx="590">
                  <c:v>5</c:v>
                </c:pt>
                <c:pt idx="591">
                  <c:v>5</c:v>
                </c:pt>
                <c:pt idx="592">
                  <c:v>5</c:v>
                </c:pt>
                <c:pt idx="593">
                  <c:v>3</c:v>
                </c:pt>
                <c:pt idx="594">
                  <c:v>4</c:v>
                </c:pt>
                <c:pt idx="595">
                  <c:v>5</c:v>
                </c:pt>
                <c:pt idx="596">
                  <c:v>2</c:v>
                </c:pt>
                <c:pt idx="597">
                  <c:v>3</c:v>
                </c:pt>
                <c:pt idx="598">
                  <c:v>6</c:v>
                </c:pt>
                <c:pt idx="599">
                  <c:v>4</c:v>
                </c:pt>
                <c:pt idx="600">
                  <c:v>6</c:v>
                </c:pt>
                <c:pt idx="601">
                  <c:v>2</c:v>
                </c:pt>
                <c:pt idx="602">
                  <c:v>4</c:v>
                </c:pt>
                <c:pt idx="603">
                  <c:v>5</c:v>
                </c:pt>
                <c:pt idx="604">
                  <c:v>3</c:v>
                </c:pt>
                <c:pt idx="605">
                  <c:v>6</c:v>
                </c:pt>
                <c:pt idx="606">
                  <c:v>4</c:v>
                </c:pt>
                <c:pt idx="607">
                  <c:v>6</c:v>
                </c:pt>
                <c:pt idx="608">
                  <c:v>6</c:v>
                </c:pt>
                <c:pt idx="609">
                  <c:v>3</c:v>
                </c:pt>
                <c:pt idx="610">
                  <c:v>2</c:v>
                </c:pt>
                <c:pt idx="611">
                  <c:v>3</c:v>
                </c:pt>
                <c:pt idx="612">
                  <c:v>6</c:v>
                </c:pt>
                <c:pt idx="613">
                  <c:v>2</c:v>
                </c:pt>
                <c:pt idx="614">
                  <c:v>5</c:v>
                </c:pt>
                <c:pt idx="615">
                  <c:v>4</c:v>
                </c:pt>
                <c:pt idx="616">
                  <c:v>3</c:v>
                </c:pt>
                <c:pt idx="617">
                  <c:v>4</c:v>
                </c:pt>
                <c:pt idx="618">
                  <c:v>3</c:v>
                </c:pt>
                <c:pt idx="619">
                  <c:v>2</c:v>
                </c:pt>
                <c:pt idx="620">
                  <c:v>4</c:v>
                </c:pt>
                <c:pt idx="621">
                  <c:v>6</c:v>
                </c:pt>
                <c:pt idx="622">
                  <c:v>3</c:v>
                </c:pt>
                <c:pt idx="623">
                  <c:v>6</c:v>
                </c:pt>
                <c:pt idx="624">
                  <c:v>5</c:v>
                </c:pt>
                <c:pt idx="625">
                  <c:v>2</c:v>
                </c:pt>
                <c:pt idx="626">
                  <c:v>4</c:v>
                </c:pt>
                <c:pt idx="627">
                  <c:v>6</c:v>
                </c:pt>
                <c:pt idx="628">
                  <c:v>5</c:v>
                </c:pt>
                <c:pt idx="629">
                  <c:v>3</c:v>
                </c:pt>
                <c:pt idx="630">
                  <c:v>6</c:v>
                </c:pt>
                <c:pt idx="631">
                  <c:v>6</c:v>
                </c:pt>
                <c:pt idx="632">
                  <c:v>3</c:v>
                </c:pt>
                <c:pt idx="633">
                  <c:v>4</c:v>
                </c:pt>
                <c:pt idx="634">
                  <c:v>3</c:v>
                </c:pt>
                <c:pt idx="635">
                  <c:v>2</c:v>
                </c:pt>
                <c:pt idx="636">
                  <c:v>5</c:v>
                </c:pt>
                <c:pt idx="637">
                  <c:v>2</c:v>
                </c:pt>
                <c:pt idx="638">
                  <c:v>6</c:v>
                </c:pt>
                <c:pt idx="639">
                  <c:v>3</c:v>
                </c:pt>
                <c:pt idx="640">
                  <c:v>2</c:v>
                </c:pt>
                <c:pt idx="641">
                  <c:v>4</c:v>
                </c:pt>
                <c:pt idx="642">
                  <c:v>4</c:v>
                </c:pt>
                <c:pt idx="643">
                  <c:v>5</c:v>
                </c:pt>
                <c:pt idx="644">
                  <c:v>5</c:v>
                </c:pt>
                <c:pt idx="645">
                  <c:v>2</c:v>
                </c:pt>
                <c:pt idx="646">
                  <c:v>5</c:v>
                </c:pt>
                <c:pt idx="647">
                  <c:v>4</c:v>
                </c:pt>
                <c:pt idx="648">
                  <c:v>4</c:v>
                </c:pt>
                <c:pt idx="649">
                  <c:v>5</c:v>
                </c:pt>
                <c:pt idx="650">
                  <c:v>3</c:v>
                </c:pt>
                <c:pt idx="651">
                  <c:v>6</c:v>
                </c:pt>
                <c:pt idx="652">
                  <c:v>6</c:v>
                </c:pt>
                <c:pt idx="653">
                  <c:v>4</c:v>
                </c:pt>
                <c:pt idx="654">
                  <c:v>6</c:v>
                </c:pt>
                <c:pt idx="655">
                  <c:v>4</c:v>
                </c:pt>
                <c:pt idx="656">
                  <c:v>2</c:v>
                </c:pt>
                <c:pt idx="657">
                  <c:v>4</c:v>
                </c:pt>
                <c:pt idx="658">
                  <c:v>4</c:v>
                </c:pt>
                <c:pt idx="659">
                  <c:v>6</c:v>
                </c:pt>
                <c:pt idx="660">
                  <c:v>6</c:v>
                </c:pt>
                <c:pt idx="661">
                  <c:v>4</c:v>
                </c:pt>
                <c:pt idx="662">
                  <c:v>2</c:v>
                </c:pt>
                <c:pt idx="663">
                  <c:v>4</c:v>
                </c:pt>
                <c:pt idx="664">
                  <c:v>2</c:v>
                </c:pt>
                <c:pt idx="665">
                  <c:v>4</c:v>
                </c:pt>
                <c:pt idx="666">
                  <c:v>6</c:v>
                </c:pt>
                <c:pt idx="667">
                  <c:v>5</c:v>
                </c:pt>
                <c:pt idx="668">
                  <c:v>6</c:v>
                </c:pt>
                <c:pt idx="669">
                  <c:v>6</c:v>
                </c:pt>
                <c:pt idx="670">
                  <c:v>2</c:v>
                </c:pt>
                <c:pt idx="671">
                  <c:v>6</c:v>
                </c:pt>
                <c:pt idx="672">
                  <c:v>5</c:v>
                </c:pt>
                <c:pt idx="673">
                  <c:v>2</c:v>
                </c:pt>
                <c:pt idx="674">
                  <c:v>5</c:v>
                </c:pt>
                <c:pt idx="675">
                  <c:v>6</c:v>
                </c:pt>
                <c:pt idx="676">
                  <c:v>5</c:v>
                </c:pt>
                <c:pt idx="677">
                  <c:v>4</c:v>
                </c:pt>
                <c:pt idx="678">
                  <c:v>3</c:v>
                </c:pt>
                <c:pt idx="679">
                  <c:v>5</c:v>
                </c:pt>
                <c:pt idx="680">
                  <c:v>4</c:v>
                </c:pt>
                <c:pt idx="681">
                  <c:v>6</c:v>
                </c:pt>
                <c:pt idx="682">
                  <c:v>3</c:v>
                </c:pt>
                <c:pt idx="683">
                  <c:v>4</c:v>
                </c:pt>
                <c:pt idx="684">
                  <c:v>6</c:v>
                </c:pt>
                <c:pt idx="685">
                  <c:v>6</c:v>
                </c:pt>
                <c:pt idx="686">
                  <c:v>2</c:v>
                </c:pt>
                <c:pt idx="687">
                  <c:v>2</c:v>
                </c:pt>
                <c:pt idx="688">
                  <c:v>6</c:v>
                </c:pt>
                <c:pt idx="689">
                  <c:v>6</c:v>
                </c:pt>
                <c:pt idx="690">
                  <c:v>3</c:v>
                </c:pt>
                <c:pt idx="691">
                  <c:v>4</c:v>
                </c:pt>
                <c:pt idx="692">
                  <c:v>6</c:v>
                </c:pt>
                <c:pt idx="693">
                  <c:v>3</c:v>
                </c:pt>
                <c:pt idx="694">
                  <c:v>3</c:v>
                </c:pt>
                <c:pt idx="695">
                  <c:v>3</c:v>
                </c:pt>
                <c:pt idx="696">
                  <c:v>4</c:v>
                </c:pt>
                <c:pt idx="697">
                  <c:v>4</c:v>
                </c:pt>
                <c:pt idx="698">
                  <c:v>4</c:v>
                </c:pt>
                <c:pt idx="699">
                  <c:v>5</c:v>
                </c:pt>
                <c:pt idx="700">
                  <c:v>5</c:v>
                </c:pt>
                <c:pt idx="701">
                  <c:v>3</c:v>
                </c:pt>
                <c:pt idx="702">
                  <c:v>4</c:v>
                </c:pt>
                <c:pt idx="703">
                  <c:v>3</c:v>
                </c:pt>
                <c:pt idx="704">
                  <c:v>4</c:v>
                </c:pt>
                <c:pt idx="705">
                  <c:v>6</c:v>
                </c:pt>
                <c:pt idx="706">
                  <c:v>2</c:v>
                </c:pt>
                <c:pt idx="707">
                  <c:v>2</c:v>
                </c:pt>
                <c:pt idx="708">
                  <c:v>6</c:v>
                </c:pt>
                <c:pt idx="709">
                  <c:v>3</c:v>
                </c:pt>
                <c:pt idx="710">
                  <c:v>5</c:v>
                </c:pt>
                <c:pt idx="711">
                  <c:v>3</c:v>
                </c:pt>
                <c:pt idx="712">
                  <c:v>2</c:v>
                </c:pt>
                <c:pt idx="713">
                  <c:v>4</c:v>
                </c:pt>
                <c:pt idx="714">
                  <c:v>6</c:v>
                </c:pt>
                <c:pt idx="715">
                  <c:v>6</c:v>
                </c:pt>
                <c:pt idx="716">
                  <c:v>4</c:v>
                </c:pt>
                <c:pt idx="717">
                  <c:v>5</c:v>
                </c:pt>
                <c:pt idx="718">
                  <c:v>6</c:v>
                </c:pt>
                <c:pt idx="719">
                  <c:v>2</c:v>
                </c:pt>
                <c:pt idx="720">
                  <c:v>6</c:v>
                </c:pt>
                <c:pt idx="721">
                  <c:v>6</c:v>
                </c:pt>
                <c:pt idx="722">
                  <c:v>6</c:v>
                </c:pt>
                <c:pt idx="723">
                  <c:v>3</c:v>
                </c:pt>
                <c:pt idx="724">
                  <c:v>2</c:v>
                </c:pt>
                <c:pt idx="725">
                  <c:v>4</c:v>
                </c:pt>
                <c:pt idx="726">
                  <c:v>2</c:v>
                </c:pt>
                <c:pt idx="727">
                  <c:v>4</c:v>
                </c:pt>
                <c:pt idx="728">
                  <c:v>2</c:v>
                </c:pt>
                <c:pt idx="729">
                  <c:v>6</c:v>
                </c:pt>
                <c:pt idx="730">
                  <c:v>5</c:v>
                </c:pt>
                <c:pt idx="731">
                  <c:v>4</c:v>
                </c:pt>
                <c:pt idx="732">
                  <c:v>6</c:v>
                </c:pt>
                <c:pt idx="733">
                  <c:v>4</c:v>
                </c:pt>
                <c:pt idx="734">
                  <c:v>4</c:v>
                </c:pt>
                <c:pt idx="735">
                  <c:v>3</c:v>
                </c:pt>
                <c:pt idx="736">
                  <c:v>6</c:v>
                </c:pt>
                <c:pt idx="737">
                  <c:v>2</c:v>
                </c:pt>
                <c:pt idx="738">
                  <c:v>6</c:v>
                </c:pt>
                <c:pt idx="739">
                  <c:v>3</c:v>
                </c:pt>
                <c:pt idx="740">
                  <c:v>2</c:v>
                </c:pt>
                <c:pt idx="741">
                  <c:v>6</c:v>
                </c:pt>
                <c:pt idx="742">
                  <c:v>5</c:v>
                </c:pt>
                <c:pt idx="743">
                  <c:v>5</c:v>
                </c:pt>
                <c:pt idx="744">
                  <c:v>5</c:v>
                </c:pt>
                <c:pt idx="745">
                  <c:v>3</c:v>
                </c:pt>
                <c:pt idx="746">
                  <c:v>6</c:v>
                </c:pt>
                <c:pt idx="747">
                  <c:v>5</c:v>
                </c:pt>
                <c:pt idx="748">
                  <c:v>5</c:v>
                </c:pt>
                <c:pt idx="749">
                  <c:v>4</c:v>
                </c:pt>
                <c:pt idx="750">
                  <c:v>5</c:v>
                </c:pt>
                <c:pt idx="751">
                  <c:v>4</c:v>
                </c:pt>
                <c:pt idx="752">
                  <c:v>5</c:v>
                </c:pt>
                <c:pt idx="753">
                  <c:v>4</c:v>
                </c:pt>
                <c:pt idx="754">
                  <c:v>3</c:v>
                </c:pt>
                <c:pt idx="755">
                  <c:v>4</c:v>
                </c:pt>
                <c:pt idx="756">
                  <c:v>6</c:v>
                </c:pt>
                <c:pt idx="757">
                  <c:v>5</c:v>
                </c:pt>
                <c:pt idx="758">
                  <c:v>6</c:v>
                </c:pt>
                <c:pt idx="759">
                  <c:v>6</c:v>
                </c:pt>
                <c:pt idx="760">
                  <c:v>5</c:v>
                </c:pt>
                <c:pt idx="761">
                  <c:v>4</c:v>
                </c:pt>
                <c:pt idx="762">
                  <c:v>2</c:v>
                </c:pt>
                <c:pt idx="763">
                  <c:v>4</c:v>
                </c:pt>
                <c:pt idx="764">
                  <c:v>6</c:v>
                </c:pt>
                <c:pt idx="765">
                  <c:v>3</c:v>
                </c:pt>
                <c:pt idx="766">
                  <c:v>6</c:v>
                </c:pt>
                <c:pt idx="767">
                  <c:v>5</c:v>
                </c:pt>
                <c:pt idx="768">
                  <c:v>5</c:v>
                </c:pt>
                <c:pt idx="769">
                  <c:v>6</c:v>
                </c:pt>
                <c:pt idx="770">
                  <c:v>2</c:v>
                </c:pt>
                <c:pt idx="771">
                  <c:v>6</c:v>
                </c:pt>
                <c:pt idx="772">
                  <c:v>3</c:v>
                </c:pt>
                <c:pt idx="773">
                  <c:v>5</c:v>
                </c:pt>
                <c:pt idx="774">
                  <c:v>6</c:v>
                </c:pt>
                <c:pt idx="775">
                  <c:v>2</c:v>
                </c:pt>
                <c:pt idx="776">
                  <c:v>5</c:v>
                </c:pt>
                <c:pt idx="777">
                  <c:v>3</c:v>
                </c:pt>
                <c:pt idx="778">
                  <c:v>6</c:v>
                </c:pt>
                <c:pt idx="779">
                  <c:v>4</c:v>
                </c:pt>
                <c:pt idx="780">
                  <c:v>6</c:v>
                </c:pt>
                <c:pt idx="781">
                  <c:v>5</c:v>
                </c:pt>
                <c:pt idx="782">
                  <c:v>5</c:v>
                </c:pt>
                <c:pt idx="783">
                  <c:v>4</c:v>
                </c:pt>
                <c:pt idx="784">
                  <c:v>2</c:v>
                </c:pt>
                <c:pt idx="785">
                  <c:v>2</c:v>
                </c:pt>
                <c:pt idx="786">
                  <c:v>6</c:v>
                </c:pt>
                <c:pt idx="787">
                  <c:v>4</c:v>
                </c:pt>
                <c:pt idx="788">
                  <c:v>4</c:v>
                </c:pt>
                <c:pt idx="789">
                  <c:v>3</c:v>
                </c:pt>
                <c:pt idx="790">
                  <c:v>5</c:v>
                </c:pt>
                <c:pt idx="791">
                  <c:v>4</c:v>
                </c:pt>
                <c:pt idx="792">
                  <c:v>3</c:v>
                </c:pt>
                <c:pt idx="793">
                  <c:v>4</c:v>
                </c:pt>
                <c:pt idx="794">
                  <c:v>5</c:v>
                </c:pt>
                <c:pt idx="795">
                  <c:v>4</c:v>
                </c:pt>
                <c:pt idx="796">
                  <c:v>6</c:v>
                </c:pt>
                <c:pt idx="797">
                  <c:v>2</c:v>
                </c:pt>
                <c:pt idx="798">
                  <c:v>6</c:v>
                </c:pt>
                <c:pt idx="799">
                  <c:v>5</c:v>
                </c:pt>
                <c:pt idx="800">
                  <c:v>3</c:v>
                </c:pt>
                <c:pt idx="801">
                  <c:v>2</c:v>
                </c:pt>
                <c:pt idx="802">
                  <c:v>5</c:v>
                </c:pt>
                <c:pt idx="803">
                  <c:v>4</c:v>
                </c:pt>
                <c:pt idx="804">
                  <c:v>6</c:v>
                </c:pt>
                <c:pt idx="805">
                  <c:v>2</c:v>
                </c:pt>
                <c:pt idx="806">
                  <c:v>5</c:v>
                </c:pt>
                <c:pt idx="807">
                  <c:v>2</c:v>
                </c:pt>
                <c:pt idx="808">
                  <c:v>3</c:v>
                </c:pt>
                <c:pt idx="809">
                  <c:v>5</c:v>
                </c:pt>
                <c:pt idx="810">
                  <c:v>4</c:v>
                </c:pt>
                <c:pt idx="811">
                  <c:v>2</c:v>
                </c:pt>
                <c:pt idx="812">
                  <c:v>5</c:v>
                </c:pt>
                <c:pt idx="813">
                  <c:v>4</c:v>
                </c:pt>
                <c:pt idx="814">
                  <c:v>6</c:v>
                </c:pt>
                <c:pt idx="815">
                  <c:v>3</c:v>
                </c:pt>
                <c:pt idx="816">
                  <c:v>5</c:v>
                </c:pt>
                <c:pt idx="817">
                  <c:v>5</c:v>
                </c:pt>
                <c:pt idx="818">
                  <c:v>5</c:v>
                </c:pt>
                <c:pt idx="819">
                  <c:v>2</c:v>
                </c:pt>
                <c:pt idx="820">
                  <c:v>6</c:v>
                </c:pt>
                <c:pt idx="821">
                  <c:v>4</c:v>
                </c:pt>
                <c:pt idx="822">
                  <c:v>2</c:v>
                </c:pt>
                <c:pt idx="823">
                  <c:v>2</c:v>
                </c:pt>
                <c:pt idx="824">
                  <c:v>5</c:v>
                </c:pt>
                <c:pt idx="825">
                  <c:v>5</c:v>
                </c:pt>
                <c:pt idx="826">
                  <c:v>6</c:v>
                </c:pt>
                <c:pt idx="827">
                  <c:v>2</c:v>
                </c:pt>
                <c:pt idx="828">
                  <c:v>2</c:v>
                </c:pt>
                <c:pt idx="829">
                  <c:v>3</c:v>
                </c:pt>
                <c:pt idx="830">
                  <c:v>4</c:v>
                </c:pt>
                <c:pt idx="831">
                  <c:v>2</c:v>
                </c:pt>
                <c:pt idx="832">
                  <c:v>3</c:v>
                </c:pt>
                <c:pt idx="833">
                  <c:v>5</c:v>
                </c:pt>
                <c:pt idx="834">
                  <c:v>3</c:v>
                </c:pt>
                <c:pt idx="835">
                  <c:v>4</c:v>
                </c:pt>
                <c:pt idx="836">
                  <c:v>5</c:v>
                </c:pt>
                <c:pt idx="837">
                  <c:v>2</c:v>
                </c:pt>
                <c:pt idx="838">
                  <c:v>4</c:v>
                </c:pt>
                <c:pt idx="839">
                  <c:v>6</c:v>
                </c:pt>
                <c:pt idx="840">
                  <c:v>4</c:v>
                </c:pt>
                <c:pt idx="841">
                  <c:v>5</c:v>
                </c:pt>
                <c:pt idx="842">
                  <c:v>5</c:v>
                </c:pt>
                <c:pt idx="843">
                  <c:v>2</c:v>
                </c:pt>
                <c:pt idx="844">
                  <c:v>2</c:v>
                </c:pt>
                <c:pt idx="845">
                  <c:v>3</c:v>
                </c:pt>
                <c:pt idx="846">
                  <c:v>3</c:v>
                </c:pt>
                <c:pt idx="847">
                  <c:v>5</c:v>
                </c:pt>
                <c:pt idx="848">
                  <c:v>3</c:v>
                </c:pt>
                <c:pt idx="849">
                  <c:v>5</c:v>
                </c:pt>
                <c:pt idx="850">
                  <c:v>6</c:v>
                </c:pt>
                <c:pt idx="851">
                  <c:v>5</c:v>
                </c:pt>
                <c:pt idx="852">
                  <c:v>2</c:v>
                </c:pt>
                <c:pt idx="853">
                  <c:v>6</c:v>
                </c:pt>
                <c:pt idx="854">
                  <c:v>6</c:v>
                </c:pt>
                <c:pt idx="855">
                  <c:v>6</c:v>
                </c:pt>
                <c:pt idx="856">
                  <c:v>2</c:v>
                </c:pt>
                <c:pt idx="857">
                  <c:v>3</c:v>
                </c:pt>
                <c:pt idx="858">
                  <c:v>2</c:v>
                </c:pt>
                <c:pt idx="859">
                  <c:v>6</c:v>
                </c:pt>
                <c:pt idx="860">
                  <c:v>5</c:v>
                </c:pt>
                <c:pt idx="861">
                  <c:v>5</c:v>
                </c:pt>
                <c:pt idx="862">
                  <c:v>6</c:v>
                </c:pt>
                <c:pt idx="863">
                  <c:v>3</c:v>
                </c:pt>
                <c:pt idx="864">
                  <c:v>5</c:v>
                </c:pt>
                <c:pt idx="865">
                  <c:v>6</c:v>
                </c:pt>
                <c:pt idx="866">
                  <c:v>3</c:v>
                </c:pt>
                <c:pt idx="867">
                  <c:v>5</c:v>
                </c:pt>
                <c:pt idx="868">
                  <c:v>3</c:v>
                </c:pt>
                <c:pt idx="869">
                  <c:v>3</c:v>
                </c:pt>
                <c:pt idx="870">
                  <c:v>3</c:v>
                </c:pt>
                <c:pt idx="871">
                  <c:v>6</c:v>
                </c:pt>
                <c:pt idx="872">
                  <c:v>5</c:v>
                </c:pt>
                <c:pt idx="873">
                  <c:v>5</c:v>
                </c:pt>
                <c:pt idx="874">
                  <c:v>4</c:v>
                </c:pt>
                <c:pt idx="875">
                  <c:v>5</c:v>
                </c:pt>
                <c:pt idx="876">
                  <c:v>6</c:v>
                </c:pt>
                <c:pt idx="877">
                  <c:v>2</c:v>
                </c:pt>
                <c:pt idx="878">
                  <c:v>2</c:v>
                </c:pt>
                <c:pt idx="879">
                  <c:v>2</c:v>
                </c:pt>
                <c:pt idx="880">
                  <c:v>2</c:v>
                </c:pt>
                <c:pt idx="881">
                  <c:v>2</c:v>
                </c:pt>
                <c:pt idx="882">
                  <c:v>2</c:v>
                </c:pt>
                <c:pt idx="883">
                  <c:v>3</c:v>
                </c:pt>
                <c:pt idx="884">
                  <c:v>6</c:v>
                </c:pt>
                <c:pt idx="885">
                  <c:v>6</c:v>
                </c:pt>
                <c:pt idx="886">
                  <c:v>4</c:v>
                </c:pt>
                <c:pt idx="887">
                  <c:v>4</c:v>
                </c:pt>
                <c:pt idx="888">
                  <c:v>6</c:v>
                </c:pt>
                <c:pt idx="889">
                  <c:v>5</c:v>
                </c:pt>
                <c:pt idx="890">
                  <c:v>3</c:v>
                </c:pt>
                <c:pt idx="891">
                  <c:v>3</c:v>
                </c:pt>
                <c:pt idx="892">
                  <c:v>5</c:v>
                </c:pt>
                <c:pt idx="893">
                  <c:v>2</c:v>
                </c:pt>
                <c:pt idx="894">
                  <c:v>5</c:v>
                </c:pt>
                <c:pt idx="895">
                  <c:v>4</c:v>
                </c:pt>
                <c:pt idx="896">
                  <c:v>6</c:v>
                </c:pt>
                <c:pt idx="897">
                  <c:v>6</c:v>
                </c:pt>
                <c:pt idx="898">
                  <c:v>6</c:v>
                </c:pt>
                <c:pt idx="899">
                  <c:v>3</c:v>
                </c:pt>
                <c:pt idx="900">
                  <c:v>4</c:v>
                </c:pt>
                <c:pt idx="901">
                  <c:v>6</c:v>
                </c:pt>
                <c:pt idx="902">
                  <c:v>6</c:v>
                </c:pt>
                <c:pt idx="903">
                  <c:v>4</c:v>
                </c:pt>
                <c:pt idx="904">
                  <c:v>4</c:v>
                </c:pt>
                <c:pt idx="905">
                  <c:v>5</c:v>
                </c:pt>
                <c:pt idx="906">
                  <c:v>3</c:v>
                </c:pt>
                <c:pt idx="907">
                  <c:v>4</c:v>
                </c:pt>
                <c:pt idx="908">
                  <c:v>3</c:v>
                </c:pt>
                <c:pt idx="909">
                  <c:v>4</c:v>
                </c:pt>
                <c:pt idx="910">
                  <c:v>5</c:v>
                </c:pt>
                <c:pt idx="911">
                  <c:v>2</c:v>
                </c:pt>
                <c:pt idx="912">
                  <c:v>5</c:v>
                </c:pt>
                <c:pt idx="913">
                  <c:v>4</c:v>
                </c:pt>
                <c:pt idx="914">
                  <c:v>4</c:v>
                </c:pt>
                <c:pt idx="915">
                  <c:v>6</c:v>
                </c:pt>
                <c:pt idx="916">
                  <c:v>2</c:v>
                </c:pt>
                <c:pt idx="917">
                  <c:v>2</c:v>
                </c:pt>
                <c:pt idx="918">
                  <c:v>4</c:v>
                </c:pt>
                <c:pt idx="919">
                  <c:v>3</c:v>
                </c:pt>
                <c:pt idx="920">
                  <c:v>5</c:v>
                </c:pt>
                <c:pt idx="921">
                  <c:v>3</c:v>
                </c:pt>
                <c:pt idx="922">
                  <c:v>3</c:v>
                </c:pt>
                <c:pt idx="923">
                  <c:v>6</c:v>
                </c:pt>
                <c:pt idx="924">
                  <c:v>5</c:v>
                </c:pt>
                <c:pt idx="925">
                  <c:v>6</c:v>
                </c:pt>
                <c:pt idx="926">
                  <c:v>3</c:v>
                </c:pt>
                <c:pt idx="927">
                  <c:v>5</c:v>
                </c:pt>
                <c:pt idx="928">
                  <c:v>4</c:v>
                </c:pt>
                <c:pt idx="929">
                  <c:v>3</c:v>
                </c:pt>
                <c:pt idx="930">
                  <c:v>5</c:v>
                </c:pt>
                <c:pt idx="931">
                  <c:v>2</c:v>
                </c:pt>
                <c:pt idx="932">
                  <c:v>2</c:v>
                </c:pt>
                <c:pt idx="933">
                  <c:v>6</c:v>
                </c:pt>
                <c:pt idx="934">
                  <c:v>6</c:v>
                </c:pt>
                <c:pt idx="935">
                  <c:v>3</c:v>
                </c:pt>
                <c:pt idx="936">
                  <c:v>4</c:v>
                </c:pt>
                <c:pt idx="937">
                  <c:v>3</c:v>
                </c:pt>
                <c:pt idx="938">
                  <c:v>4</c:v>
                </c:pt>
                <c:pt idx="939">
                  <c:v>6</c:v>
                </c:pt>
                <c:pt idx="940">
                  <c:v>2</c:v>
                </c:pt>
                <c:pt idx="941">
                  <c:v>4</c:v>
                </c:pt>
                <c:pt idx="942">
                  <c:v>2</c:v>
                </c:pt>
                <c:pt idx="943">
                  <c:v>3</c:v>
                </c:pt>
                <c:pt idx="944">
                  <c:v>5</c:v>
                </c:pt>
                <c:pt idx="945">
                  <c:v>6</c:v>
                </c:pt>
                <c:pt idx="946">
                  <c:v>2</c:v>
                </c:pt>
                <c:pt idx="947">
                  <c:v>3</c:v>
                </c:pt>
                <c:pt idx="948">
                  <c:v>5</c:v>
                </c:pt>
                <c:pt idx="949">
                  <c:v>4</c:v>
                </c:pt>
                <c:pt idx="950">
                  <c:v>5</c:v>
                </c:pt>
                <c:pt idx="951">
                  <c:v>3</c:v>
                </c:pt>
                <c:pt idx="952">
                  <c:v>3</c:v>
                </c:pt>
                <c:pt idx="953">
                  <c:v>2</c:v>
                </c:pt>
                <c:pt idx="954">
                  <c:v>6</c:v>
                </c:pt>
                <c:pt idx="955">
                  <c:v>2</c:v>
                </c:pt>
                <c:pt idx="956">
                  <c:v>5</c:v>
                </c:pt>
                <c:pt idx="957">
                  <c:v>4</c:v>
                </c:pt>
                <c:pt idx="958">
                  <c:v>5</c:v>
                </c:pt>
                <c:pt idx="959">
                  <c:v>2</c:v>
                </c:pt>
                <c:pt idx="960">
                  <c:v>6</c:v>
                </c:pt>
                <c:pt idx="961">
                  <c:v>4</c:v>
                </c:pt>
                <c:pt idx="962">
                  <c:v>4</c:v>
                </c:pt>
                <c:pt idx="963">
                  <c:v>6</c:v>
                </c:pt>
                <c:pt idx="964">
                  <c:v>5</c:v>
                </c:pt>
                <c:pt idx="965">
                  <c:v>2</c:v>
                </c:pt>
                <c:pt idx="966">
                  <c:v>2</c:v>
                </c:pt>
                <c:pt idx="967">
                  <c:v>5</c:v>
                </c:pt>
                <c:pt idx="968">
                  <c:v>3</c:v>
                </c:pt>
                <c:pt idx="969">
                  <c:v>6</c:v>
                </c:pt>
                <c:pt idx="970">
                  <c:v>2</c:v>
                </c:pt>
                <c:pt idx="971">
                  <c:v>5</c:v>
                </c:pt>
                <c:pt idx="972">
                  <c:v>4</c:v>
                </c:pt>
                <c:pt idx="973">
                  <c:v>2</c:v>
                </c:pt>
                <c:pt idx="974">
                  <c:v>6</c:v>
                </c:pt>
                <c:pt idx="975">
                  <c:v>4</c:v>
                </c:pt>
                <c:pt idx="976">
                  <c:v>6</c:v>
                </c:pt>
                <c:pt idx="977">
                  <c:v>6</c:v>
                </c:pt>
                <c:pt idx="978">
                  <c:v>2</c:v>
                </c:pt>
                <c:pt idx="979">
                  <c:v>6</c:v>
                </c:pt>
                <c:pt idx="980">
                  <c:v>4</c:v>
                </c:pt>
                <c:pt idx="981">
                  <c:v>6</c:v>
                </c:pt>
                <c:pt idx="982">
                  <c:v>3</c:v>
                </c:pt>
                <c:pt idx="983">
                  <c:v>5</c:v>
                </c:pt>
                <c:pt idx="984">
                  <c:v>4</c:v>
                </c:pt>
                <c:pt idx="985">
                  <c:v>5</c:v>
                </c:pt>
                <c:pt idx="986">
                  <c:v>5</c:v>
                </c:pt>
                <c:pt idx="987">
                  <c:v>2</c:v>
                </c:pt>
                <c:pt idx="988">
                  <c:v>4</c:v>
                </c:pt>
                <c:pt idx="989">
                  <c:v>4</c:v>
                </c:pt>
                <c:pt idx="990">
                  <c:v>6</c:v>
                </c:pt>
                <c:pt idx="991">
                  <c:v>3</c:v>
                </c:pt>
                <c:pt idx="992">
                  <c:v>5</c:v>
                </c:pt>
                <c:pt idx="993">
                  <c:v>6</c:v>
                </c:pt>
                <c:pt idx="994">
                  <c:v>4</c:v>
                </c:pt>
                <c:pt idx="995">
                  <c:v>5</c:v>
                </c:pt>
                <c:pt idx="996">
                  <c:v>3</c:v>
                </c:pt>
                <c:pt idx="997">
                  <c:v>6</c:v>
                </c:pt>
                <c:pt idx="998">
                  <c:v>2</c:v>
                </c:pt>
                <c:pt idx="999">
                  <c:v>6</c:v>
                </c:pt>
              </c:numCache>
            </c:numRef>
          </c:xVal>
          <c:yVal>
            <c:numRef>
              <c:f>Raw_Data!$R$2:$R$1001</c:f>
              <c:numCache>
                <c:formatCode>General</c:formatCode>
                <c:ptCount val="1000"/>
                <c:pt idx="0">
                  <c:v>428</c:v>
                </c:pt>
                <c:pt idx="1">
                  <c:v>589</c:v>
                </c:pt>
                <c:pt idx="2">
                  <c:v>408</c:v>
                </c:pt>
                <c:pt idx="3">
                  <c:v>449</c:v>
                </c:pt>
                <c:pt idx="4">
                  <c:v>745</c:v>
                </c:pt>
                <c:pt idx="5">
                  <c:v>428</c:v>
                </c:pt>
                <c:pt idx="6">
                  <c:v>603</c:v>
                </c:pt>
                <c:pt idx="7">
                  <c:v>604</c:v>
                </c:pt>
                <c:pt idx="8">
                  <c:v>267</c:v>
                </c:pt>
                <c:pt idx="9">
                  <c:v>557</c:v>
                </c:pt>
                <c:pt idx="10">
                  <c:v>539</c:v>
                </c:pt>
                <c:pt idx="11">
                  <c:v>466</c:v>
                </c:pt>
                <c:pt idx="12">
                  <c:v>368</c:v>
                </c:pt>
                <c:pt idx="13">
                  <c:v>567</c:v>
                </c:pt>
                <c:pt idx="14">
                  <c:v>644</c:v>
                </c:pt>
                <c:pt idx="15">
                  <c:v>470</c:v>
                </c:pt>
                <c:pt idx="16">
                  <c:v>257</c:v>
                </c:pt>
                <c:pt idx="17">
                  <c:v>539</c:v>
                </c:pt>
                <c:pt idx="18">
                  <c:v>489</c:v>
                </c:pt>
                <c:pt idx="19">
                  <c:v>439</c:v>
                </c:pt>
                <c:pt idx="20">
                  <c:v>764</c:v>
                </c:pt>
                <c:pt idx="21">
                  <c:v>415</c:v>
                </c:pt>
                <c:pt idx="22">
                  <c:v>789</c:v>
                </c:pt>
                <c:pt idx="23">
                  <c:v>639</c:v>
                </c:pt>
                <c:pt idx="24">
                  <c:v>789</c:v>
                </c:pt>
                <c:pt idx="25">
                  <c:v>289</c:v>
                </c:pt>
                <c:pt idx="26">
                  <c:v>289</c:v>
                </c:pt>
                <c:pt idx="27">
                  <c:v>487</c:v>
                </c:pt>
                <c:pt idx="28">
                  <c:v>427</c:v>
                </c:pt>
                <c:pt idx="29">
                  <c:v>560</c:v>
                </c:pt>
                <c:pt idx="30">
                  <c:v>663</c:v>
                </c:pt>
                <c:pt idx="31">
                  <c:v>749</c:v>
                </c:pt>
                <c:pt idx="32">
                  <c:v>493</c:v>
                </c:pt>
                <c:pt idx="33">
                  <c:v>338</c:v>
                </c:pt>
                <c:pt idx="34">
                  <c:v>440</c:v>
                </c:pt>
                <c:pt idx="35">
                  <c:v>824</c:v>
                </c:pt>
                <c:pt idx="36">
                  <c:v>468</c:v>
                </c:pt>
                <c:pt idx="37">
                  <c:v>352</c:v>
                </c:pt>
                <c:pt idx="38">
                  <c:v>561</c:v>
                </c:pt>
                <c:pt idx="39">
                  <c:v>466</c:v>
                </c:pt>
                <c:pt idx="40">
                  <c:v>323</c:v>
                </c:pt>
                <c:pt idx="41">
                  <c:v>822</c:v>
                </c:pt>
                <c:pt idx="42">
                  <c:v>451</c:v>
                </c:pt>
                <c:pt idx="43">
                  <c:v>382</c:v>
                </c:pt>
                <c:pt idx="44">
                  <c:v>282</c:v>
                </c:pt>
                <c:pt idx="45">
                  <c:v>629</c:v>
                </c:pt>
                <c:pt idx="46">
                  <c:v>454</c:v>
                </c:pt>
                <c:pt idx="47">
                  <c:v>389</c:v>
                </c:pt>
                <c:pt idx="48">
                  <c:v>539</c:v>
                </c:pt>
                <c:pt idx="49">
                  <c:v>433</c:v>
                </c:pt>
                <c:pt idx="50">
                  <c:v>447</c:v>
                </c:pt>
                <c:pt idx="51">
                  <c:v>433</c:v>
                </c:pt>
                <c:pt idx="52">
                  <c:v>252</c:v>
                </c:pt>
                <c:pt idx="53">
                  <c:v>576</c:v>
                </c:pt>
                <c:pt idx="54">
                  <c:v>521</c:v>
                </c:pt>
                <c:pt idx="55">
                  <c:v>492</c:v>
                </c:pt>
                <c:pt idx="56">
                  <c:v>750</c:v>
                </c:pt>
                <c:pt idx="57">
                  <c:v>289</c:v>
                </c:pt>
                <c:pt idx="58">
                  <c:v>389</c:v>
                </c:pt>
                <c:pt idx="59">
                  <c:v>497</c:v>
                </c:pt>
                <c:pt idx="60">
                  <c:v>529</c:v>
                </c:pt>
                <c:pt idx="61">
                  <c:v>909</c:v>
                </c:pt>
                <c:pt idx="62">
                  <c:v>462</c:v>
                </c:pt>
                <c:pt idx="63">
                  <c:v>305</c:v>
                </c:pt>
                <c:pt idx="64">
                  <c:v>575</c:v>
                </c:pt>
                <c:pt idx="65">
                  <c:v>262</c:v>
                </c:pt>
                <c:pt idx="66">
                  <c:v>431</c:v>
                </c:pt>
                <c:pt idx="67">
                  <c:v>560</c:v>
                </c:pt>
                <c:pt idx="68">
                  <c:v>620</c:v>
                </c:pt>
                <c:pt idx="69">
                  <c:v>533</c:v>
                </c:pt>
                <c:pt idx="70">
                  <c:v>547</c:v>
                </c:pt>
                <c:pt idx="71">
                  <c:v>476</c:v>
                </c:pt>
                <c:pt idx="72">
                  <c:v>640</c:v>
                </c:pt>
                <c:pt idx="73">
                  <c:v>559</c:v>
                </c:pt>
                <c:pt idx="74">
                  <c:v>591</c:v>
                </c:pt>
                <c:pt idx="75">
                  <c:v>452</c:v>
                </c:pt>
                <c:pt idx="76">
                  <c:v>336</c:v>
                </c:pt>
                <c:pt idx="77">
                  <c:v>490</c:v>
                </c:pt>
                <c:pt idx="78">
                  <c:v>377</c:v>
                </c:pt>
                <c:pt idx="79">
                  <c:v>885</c:v>
                </c:pt>
                <c:pt idx="80">
                  <c:v>425</c:v>
                </c:pt>
                <c:pt idx="81">
                  <c:v>789</c:v>
                </c:pt>
                <c:pt idx="82">
                  <c:v>457</c:v>
                </c:pt>
                <c:pt idx="83">
                  <c:v>513</c:v>
                </c:pt>
                <c:pt idx="84">
                  <c:v>427</c:v>
                </c:pt>
                <c:pt idx="85">
                  <c:v>495</c:v>
                </c:pt>
                <c:pt idx="86">
                  <c:v>724</c:v>
                </c:pt>
                <c:pt idx="87">
                  <c:v>451</c:v>
                </c:pt>
                <c:pt idx="88">
                  <c:v>439</c:v>
                </c:pt>
                <c:pt idx="89">
                  <c:v>316</c:v>
                </c:pt>
                <c:pt idx="90">
                  <c:v>467</c:v>
                </c:pt>
                <c:pt idx="91">
                  <c:v>582</c:v>
                </c:pt>
                <c:pt idx="92">
                  <c:v>272</c:v>
                </c:pt>
                <c:pt idx="93">
                  <c:v>513</c:v>
                </c:pt>
                <c:pt idx="94">
                  <c:v>488</c:v>
                </c:pt>
                <c:pt idx="95">
                  <c:v>689</c:v>
                </c:pt>
                <c:pt idx="96">
                  <c:v>371</c:v>
                </c:pt>
                <c:pt idx="97">
                  <c:v>366</c:v>
                </c:pt>
                <c:pt idx="98">
                  <c:v>448</c:v>
                </c:pt>
                <c:pt idx="99">
                  <c:v>451</c:v>
                </c:pt>
                <c:pt idx="100">
                  <c:v>449</c:v>
                </c:pt>
                <c:pt idx="101">
                  <c:v>589</c:v>
                </c:pt>
                <c:pt idx="102">
                  <c:v>689</c:v>
                </c:pt>
                <c:pt idx="103">
                  <c:v>485</c:v>
                </c:pt>
                <c:pt idx="104">
                  <c:v>339</c:v>
                </c:pt>
                <c:pt idx="105">
                  <c:v>457</c:v>
                </c:pt>
                <c:pt idx="106">
                  <c:v>430</c:v>
                </c:pt>
                <c:pt idx="107">
                  <c:v>490</c:v>
                </c:pt>
                <c:pt idx="108">
                  <c:v>660</c:v>
                </c:pt>
                <c:pt idx="109">
                  <c:v>388</c:v>
                </c:pt>
                <c:pt idx="110">
                  <c:v>577</c:v>
                </c:pt>
                <c:pt idx="111">
                  <c:v>345</c:v>
                </c:pt>
                <c:pt idx="112">
                  <c:v>289</c:v>
                </c:pt>
                <c:pt idx="113">
                  <c:v>557</c:v>
                </c:pt>
                <c:pt idx="114">
                  <c:v>500</c:v>
                </c:pt>
                <c:pt idx="115">
                  <c:v>437</c:v>
                </c:pt>
                <c:pt idx="116">
                  <c:v>395</c:v>
                </c:pt>
                <c:pt idx="117">
                  <c:v>484</c:v>
                </c:pt>
                <c:pt idx="118">
                  <c:v>443</c:v>
                </c:pt>
                <c:pt idx="119">
                  <c:v>732</c:v>
                </c:pt>
                <c:pt idx="120">
                  <c:v>443</c:v>
                </c:pt>
                <c:pt idx="121">
                  <c:v>460</c:v>
                </c:pt>
                <c:pt idx="122">
                  <c:v>456</c:v>
                </c:pt>
                <c:pt idx="123">
                  <c:v>689</c:v>
                </c:pt>
                <c:pt idx="124">
                  <c:v>337</c:v>
                </c:pt>
                <c:pt idx="125">
                  <c:v>371</c:v>
                </c:pt>
                <c:pt idx="126">
                  <c:v>312</c:v>
                </c:pt>
                <c:pt idx="127">
                  <c:v>424</c:v>
                </c:pt>
                <c:pt idx="128">
                  <c:v>757</c:v>
                </c:pt>
                <c:pt idx="129">
                  <c:v>463</c:v>
                </c:pt>
                <c:pt idx="130">
                  <c:v>412</c:v>
                </c:pt>
                <c:pt idx="131">
                  <c:v>486</c:v>
                </c:pt>
                <c:pt idx="132">
                  <c:v>568</c:v>
                </c:pt>
                <c:pt idx="133">
                  <c:v>338</c:v>
                </c:pt>
                <c:pt idx="134">
                  <c:v>296</c:v>
                </c:pt>
                <c:pt idx="135">
                  <c:v>568</c:v>
                </c:pt>
                <c:pt idx="136">
                  <c:v>379</c:v>
                </c:pt>
                <c:pt idx="137">
                  <c:v>464</c:v>
                </c:pt>
                <c:pt idx="138">
                  <c:v>389</c:v>
                </c:pt>
                <c:pt idx="139">
                  <c:v>606</c:v>
                </c:pt>
                <c:pt idx="140">
                  <c:v>538</c:v>
                </c:pt>
                <c:pt idx="141">
                  <c:v>408</c:v>
                </c:pt>
                <c:pt idx="142">
                  <c:v>589</c:v>
                </c:pt>
                <c:pt idx="143">
                  <c:v>489</c:v>
                </c:pt>
                <c:pt idx="144">
                  <c:v>656</c:v>
                </c:pt>
                <c:pt idx="145">
                  <c:v>362</c:v>
                </c:pt>
                <c:pt idx="146">
                  <c:v>313</c:v>
                </c:pt>
                <c:pt idx="147">
                  <c:v>352</c:v>
                </c:pt>
                <c:pt idx="148">
                  <c:v>664</c:v>
                </c:pt>
                <c:pt idx="149">
                  <c:v>515</c:v>
                </c:pt>
                <c:pt idx="150">
                  <c:v>730</c:v>
                </c:pt>
                <c:pt idx="151">
                  <c:v>389</c:v>
                </c:pt>
                <c:pt idx="152">
                  <c:v>446</c:v>
                </c:pt>
                <c:pt idx="153">
                  <c:v>310</c:v>
                </c:pt>
                <c:pt idx="154">
                  <c:v>655</c:v>
                </c:pt>
                <c:pt idx="155">
                  <c:v>693</c:v>
                </c:pt>
                <c:pt idx="156">
                  <c:v>336</c:v>
                </c:pt>
                <c:pt idx="157">
                  <c:v>389</c:v>
                </c:pt>
                <c:pt idx="158">
                  <c:v>617</c:v>
                </c:pt>
                <c:pt idx="159">
                  <c:v>492</c:v>
                </c:pt>
                <c:pt idx="160">
                  <c:v>457</c:v>
                </c:pt>
                <c:pt idx="161">
                  <c:v>506</c:v>
                </c:pt>
                <c:pt idx="162">
                  <c:v>549</c:v>
                </c:pt>
                <c:pt idx="163">
                  <c:v>759</c:v>
                </c:pt>
                <c:pt idx="164">
                  <c:v>530</c:v>
                </c:pt>
                <c:pt idx="165">
                  <c:v>342</c:v>
                </c:pt>
                <c:pt idx="166">
                  <c:v>400</c:v>
                </c:pt>
                <c:pt idx="167">
                  <c:v>251</c:v>
                </c:pt>
                <c:pt idx="168">
                  <c:v>513</c:v>
                </c:pt>
                <c:pt idx="169">
                  <c:v>330</c:v>
                </c:pt>
                <c:pt idx="170">
                  <c:v>951</c:v>
                </c:pt>
                <c:pt idx="171">
                  <c:v>506</c:v>
                </c:pt>
                <c:pt idx="172">
                  <c:v>507</c:v>
                </c:pt>
                <c:pt idx="173">
                  <c:v>728</c:v>
                </c:pt>
                <c:pt idx="174">
                  <c:v>450</c:v>
                </c:pt>
                <c:pt idx="175">
                  <c:v>542</c:v>
                </c:pt>
                <c:pt idx="176">
                  <c:v>483</c:v>
                </c:pt>
                <c:pt idx="177">
                  <c:v>561</c:v>
                </c:pt>
                <c:pt idx="178">
                  <c:v>388</c:v>
                </c:pt>
                <c:pt idx="179">
                  <c:v>453</c:v>
                </c:pt>
                <c:pt idx="180">
                  <c:v>525</c:v>
                </c:pt>
                <c:pt idx="181">
                  <c:v>903</c:v>
                </c:pt>
                <c:pt idx="182">
                  <c:v>589</c:v>
                </c:pt>
                <c:pt idx="183">
                  <c:v>567</c:v>
                </c:pt>
                <c:pt idx="184">
                  <c:v>830</c:v>
                </c:pt>
                <c:pt idx="185">
                  <c:v>364</c:v>
                </c:pt>
                <c:pt idx="186">
                  <c:v>481</c:v>
                </c:pt>
                <c:pt idx="187">
                  <c:v>475</c:v>
                </c:pt>
                <c:pt idx="188">
                  <c:v>448</c:v>
                </c:pt>
                <c:pt idx="189">
                  <c:v>565</c:v>
                </c:pt>
                <c:pt idx="190">
                  <c:v>889</c:v>
                </c:pt>
                <c:pt idx="191">
                  <c:v>260</c:v>
                </c:pt>
                <c:pt idx="192">
                  <c:v>543</c:v>
                </c:pt>
                <c:pt idx="193">
                  <c:v>635</c:v>
                </c:pt>
                <c:pt idx="194">
                  <c:v>398</c:v>
                </c:pt>
                <c:pt idx="195">
                  <c:v>589</c:v>
                </c:pt>
                <c:pt idx="196">
                  <c:v>474</c:v>
                </c:pt>
                <c:pt idx="197">
                  <c:v>589</c:v>
                </c:pt>
                <c:pt idx="198">
                  <c:v>502</c:v>
                </c:pt>
                <c:pt idx="199">
                  <c:v>346</c:v>
                </c:pt>
                <c:pt idx="200">
                  <c:v>752</c:v>
                </c:pt>
                <c:pt idx="201">
                  <c:v>349</c:v>
                </c:pt>
                <c:pt idx="202">
                  <c:v>401</c:v>
                </c:pt>
                <c:pt idx="203">
                  <c:v>628</c:v>
                </c:pt>
                <c:pt idx="204">
                  <c:v>379</c:v>
                </c:pt>
                <c:pt idx="205">
                  <c:v>346</c:v>
                </c:pt>
                <c:pt idx="206">
                  <c:v>437</c:v>
                </c:pt>
                <c:pt idx="207">
                  <c:v>323</c:v>
                </c:pt>
                <c:pt idx="208">
                  <c:v>539</c:v>
                </c:pt>
                <c:pt idx="209">
                  <c:v>489</c:v>
                </c:pt>
                <c:pt idx="210">
                  <c:v>416</c:v>
                </c:pt>
                <c:pt idx="211">
                  <c:v>482</c:v>
                </c:pt>
                <c:pt idx="212">
                  <c:v>447</c:v>
                </c:pt>
                <c:pt idx="213">
                  <c:v>522</c:v>
                </c:pt>
                <c:pt idx="214">
                  <c:v>304</c:v>
                </c:pt>
                <c:pt idx="215">
                  <c:v>539</c:v>
                </c:pt>
                <c:pt idx="216">
                  <c:v>430</c:v>
                </c:pt>
                <c:pt idx="217">
                  <c:v>573</c:v>
                </c:pt>
                <c:pt idx="218">
                  <c:v>565</c:v>
                </c:pt>
                <c:pt idx="219">
                  <c:v>475</c:v>
                </c:pt>
                <c:pt idx="220">
                  <c:v>670</c:v>
                </c:pt>
                <c:pt idx="221">
                  <c:v>289</c:v>
                </c:pt>
                <c:pt idx="222">
                  <c:v>477</c:v>
                </c:pt>
                <c:pt idx="223">
                  <c:v>775</c:v>
                </c:pt>
                <c:pt idx="224">
                  <c:v>290</c:v>
                </c:pt>
                <c:pt idx="225">
                  <c:v>304</c:v>
                </c:pt>
                <c:pt idx="226">
                  <c:v>461</c:v>
                </c:pt>
                <c:pt idx="227">
                  <c:v>589</c:v>
                </c:pt>
                <c:pt idx="228">
                  <c:v>465</c:v>
                </c:pt>
                <c:pt idx="229">
                  <c:v>727</c:v>
                </c:pt>
                <c:pt idx="230">
                  <c:v>540</c:v>
                </c:pt>
                <c:pt idx="231">
                  <c:v>413</c:v>
                </c:pt>
                <c:pt idx="232">
                  <c:v>383</c:v>
                </c:pt>
                <c:pt idx="233">
                  <c:v>289</c:v>
                </c:pt>
                <c:pt idx="234">
                  <c:v>654</c:v>
                </c:pt>
                <c:pt idx="235">
                  <c:v>583</c:v>
                </c:pt>
                <c:pt idx="236">
                  <c:v>485</c:v>
                </c:pt>
                <c:pt idx="237">
                  <c:v>429</c:v>
                </c:pt>
                <c:pt idx="238">
                  <c:v>698</c:v>
                </c:pt>
                <c:pt idx="239">
                  <c:v>401</c:v>
                </c:pt>
                <c:pt idx="240">
                  <c:v>448</c:v>
                </c:pt>
                <c:pt idx="241">
                  <c:v>489</c:v>
                </c:pt>
                <c:pt idx="242">
                  <c:v>440</c:v>
                </c:pt>
                <c:pt idx="243">
                  <c:v>504</c:v>
                </c:pt>
                <c:pt idx="244">
                  <c:v>539</c:v>
                </c:pt>
                <c:pt idx="245">
                  <c:v>589</c:v>
                </c:pt>
                <c:pt idx="246">
                  <c:v>586</c:v>
                </c:pt>
                <c:pt idx="247">
                  <c:v>489</c:v>
                </c:pt>
                <c:pt idx="248">
                  <c:v>559</c:v>
                </c:pt>
                <c:pt idx="249">
                  <c:v>526</c:v>
                </c:pt>
                <c:pt idx="250">
                  <c:v>438</c:v>
                </c:pt>
                <c:pt idx="251">
                  <c:v>486</c:v>
                </c:pt>
                <c:pt idx="252">
                  <c:v>657</c:v>
                </c:pt>
                <c:pt idx="253">
                  <c:v>589</c:v>
                </c:pt>
                <c:pt idx="254">
                  <c:v>568</c:v>
                </c:pt>
                <c:pt idx="255">
                  <c:v>520</c:v>
                </c:pt>
                <c:pt idx="256">
                  <c:v>309</c:v>
                </c:pt>
                <c:pt idx="257">
                  <c:v>439</c:v>
                </c:pt>
                <c:pt idx="258">
                  <c:v>490</c:v>
                </c:pt>
                <c:pt idx="259">
                  <c:v>536</c:v>
                </c:pt>
                <c:pt idx="260">
                  <c:v>388</c:v>
                </c:pt>
                <c:pt idx="261">
                  <c:v>512</c:v>
                </c:pt>
                <c:pt idx="262">
                  <c:v>417</c:v>
                </c:pt>
                <c:pt idx="263">
                  <c:v>581</c:v>
                </c:pt>
                <c:pt idx="264">
                  <c:v>457</c:v>
                </c:pt>
                <c:pt idx="265">
                  <c:v>589</c:v>
                </c:pt>
                <c:pt idx="266">
                  <c:v>414</c:v>
                </c:pt>
                <c:pt idx="267">
                  <c:v>497</c:v>
                </c:pt>
                <c:pt idx="268">
                  <c:v>394</c:v>
                </c:pt>
                <c:pt idx="269">
                  <c:v>654</c:v>
                </c:pt>
                <c:pt idx="270">
                  <c:v>726</c:v>
                </c:pt>
                <c:pt idx="271">
                  <c:v>316</c:v>
                </c:pt>
                <c:pt idx="272">
                  <c:v>649</c:v>
                </c:pt>
                <c:pt idx="273">
                  <c:v>397</c:v>
                </c:pt>
                <c:pt idx="274">
                  <c:v>255</c:v>
                </c:pt>
                <c:pt idx="275">
                  <c:v>696</c:v>
                </c:pt>
                <c:pt idx="276">
                  <c:v>512</c:v>
                </c:pt>
                <c:pt idx="277">
                  <c:v>238</c:v>
                </c:pt>
                <c:pt idx="278">
                  <c:v>430</c:v>
                </c:pt>
                <c:pt idx="279">
                  <c:v>361</c:v>
                </c:pt>
                <c:pt idx="280">
                  <c:v>527</c:v>
                </c:pt>
                <c:pt idx="281">
                  <c:v>302</c:v>
                </c:pt>
                <c:pt idx="282">
                  <c:v>697</c:v>
                </c:pt>
                <c:pt idx="283">
                  <c:v>443</c:v>
                </c:pt>
                <c:pt idx="284">
                  <c:v>513</c:v>
                </c:pt>
                <c:pt idx="285">
                  <c:v>687</c:v>
                </c:pt>
                <c:pt idx="286">
                  <c:v>829</c:v>
                </c:pt>
                <c:pt idx="287">
                  <c:v>547</c:v>
                </c:pt>
                <c:pt idx="288">
                  <c:v>457</c:v>
                </c:pt>
                <c:pt idx="289">
                  <c:v>467</c:v>
                </c:pt>
                <c:pt idx="290">
                  <c:v>433</c:v>
                </c:pt>
                <c:pt idx="291">
                  <c:v>589</c:v>
                </c:pt>
                <c:pt idx="292">
                  <c:v>552</c:v>
                </c:pt>
                <c:pt idx="293">
                  <c:v>514</c:v>
                </c:pt>
                <c:pt idx="294">
                  <c:v>586</c:v>
                </c:pt>
                <c:pt idx="295">
                  <c:v>405</c:v>
                </c:pt>
                <c:pt idx="296">
                  <c:v>361</c:v>
                </c:pt>
                <c:pt idx="297">
                  <c:v>485</c:v>
                </c:pt>
                <c:pt idx="298">
                  <c:v>576</c:v>
                </c:pt>
                <c:pt idx="299">
                  <c:v>257</c:v>
                </c:pt>
                <c:pt idx="300">
                  <c:v>524</c:v>
                </c:pt>
                <c:pt idx="301">
                  <c:v>589</c:v>
                </c:pt>
                <c:pt idx="302">
                  <c:v>590</c:v>
                </c:pt>
                <c:pt idx="303">
                  <c:v>453</c:v>
                </c:pt>
                <c:pt idx="304">
                  <c:v>545</c:v>
                </c:pt>
                <c:pt idx="305">
                  <c:v>398</c:v>
                </c:pt>
                <c:pt idx="306">
                  <c:v>617</c:v>
                </c:pt>
                <c:pt idx="307">
                  <c:v>663</c:v>
                </c:pt>
                <c:pt idx="308">
                  <c:v>348</c:v>
                </c:pt>
                <c:pt idx="309">
                  <c:v>297</c:v>
                </c:pt>
                <c:pt idx="310">
                  <c:v>404</c:v>
                </c:pt>
                <c:pt idx="311">
                  <c:v>409</c:v>
                </c:pt>
                <c:pt idx="312">
                  <c:v>720</c:v>
                </c:pt>
                <c:pt idx="313">
                  <c:v>868</c:v>
                </c:pt>
                <c:pt idx="314">
                  <c:v>357</c:v>
                </c:pt>
                <c:pt idx="315">
                  <c:v>460</c:v>
                </c:pt>
                <c:pt idx="316">
                  <c:v>916</c:v>
                </c:pt>
                <c:pt idx="317">
                  <c:v>665</c:v>
                </c:pt>
                <c:pt idx="318">
                  <c:v>476</c:v>
                </c:pt>
                <c:pt idx="319">
                  <c:v>439</c:v>
                </c:pt>
                <c:pt idx="320">
                  <c:v>531</c:v>
                </c:pt>
                <c:pt idx="321">
                  <c:v>267</c:v>
                </c:pt>
                <c:pt idx="322">
                  <c:v>412</c:v>
                </c:pt>
                <c:pt idx="323">
                  <c:v>263</c:v>
                </c:pt>
                <c:pt idx="324">
                  <c:v>788</c:v>
                </c:pt>
                <c:pt idx="325">
                  <c:v>568</c:v>
                </c:pt>
                <c:pt idx="326">
                  <c:v>589</c:v>
                </c:pt>
                <c:pt idx="327">
                  <c:v>389</c:v>
                </c:pt>
                <c:pt idx="328">
                  <c:v>362</c:v>
                </c:pt>
                <c:pt idx="329">
                  <c:v>327</c:v>
                </c:pt>
                <c:pt idx="330">
                  <c:v>514</c:v>
                </c:pt>
                <c:pt idx="331">
                  <c:v>455</c:v>
                </c:pt>
                <c:pt idx="332">
                  <c:v>391</c:v>
                </c:pt>
                <c:pt idx="333">
                  <c:v>292</c:v>
                </c:pt>
                <c:pt idx="334">
                  <c:v>701</c:v>
                </c:pt>
                <c:pt idx="335">
                  <c:v>751</c:v>
                </c:pt>
                <c:pt idx="336">
                  <c:v>479</c:v>
                </c:pt>
                <c:pt idx="337">
                  <c:v>537</c:v>
                </c:pt>
                <c:pt idx="338">
                  <c:v>558</c:v>
                </c:pt>
                <c:pt idx="339">
                  <c:v>385</c:v>
                </c:pt>
                <c:pt idx="340">
                  <c:v>518</c:v>
                </c:pt>
                <c:pt idx="341">
                  <c:v>412</c:v>
                </c:pt>
                <c:pt idx="342">
                  <c:v>624</c:v>
                </c:pt>
                <c:pt idx="343">
                  <c:v>789</c:v>
                </c:pt>
                <c:pt idx="344">
                  <c:v>477</c:v>
                </c:pt>
                <c:pt idx="345">
                  <c:v>789</c:v>
                </c:pt>
                <c:pt idx="346">
                  <c:v>513</c:v>
                </c:pt>
                <c:pt idx="347">
                  <c:v>348</c:v>
                </c:pt>
                <c:pt idx="348">
                  <c:v>563</c:v>
                </c:pt>
                <c:pt idx="349">
                  <c:v>501</c:v>
                </c:pt>
                <c:pt idx="350">
                  <c:v>689</c:v>
                </c:pt>
                <c:pt idx="351">
                  <c:v>589</c:v>
                </c:pt>
                <c:pt idx="352">
                  <c:v>642</c:v>
                </c:pt>
                <c:pt idx="353">
                  <c:v>456</c:v>
                </c:pt>
                <c:pt idx="354">
                  <c:v>527</c:v>
                </c:pt>
                <c:pt idx="355">
                  <c:v>660</c:v>
                </c:pt>
                <c:pt idx="356">
                  <c:v>574</c:v>
                </c:pt>
                <c:pt idx="357">
                  <c:v>546</c:v>
                </c:pt>
                <c:pt idx="358">
                  <c:v>747</c:v>
                </c:pt>
                <c:pt idx="359">
                  <c:v>449</c:v>
                </c:pt>
                <c:pt idx="360">
                  <c:v>525</c:v>
                </c:pt>
                <c:pt idx="361">
                  <c:v>565</c:v>
                </c:pt>
                <c:pt idx="362">
                  <c:v>410</c:v>
                </c:pt>
                <c:pt idx="363">
                  <c:v>491</c:v>
                </c:pt>
                <c:pt idx="364">
                  <c:v>403</c:v>
                </c:pt>
                <c:pt idx="365">
                  <c:v>645</c:v>
                </c:pt>
                <c:pt idx="366">
                  <c:v>549</c:v>
                </c:pt>
                <c:pt idx="367">
                  <c:v>262</c:v>
                </c:pt>
                <c:pt idx="368">
                  <c:v>448</c:v>
                </c:pt>
                <c:pt idx="369">
                  <c:v>383</c:v>
                </c:pt>
                <c:pt idx="370">
                  <c:v>689</c:v>
                </c:pt>
                <c:pt idx="371">
                  <c:v>619</c:v>
                </c:pt>
                <c:pt idx="372">
                  <c:v>640</c:v>
                </c:pt>
                <c:pt idx="373">
                  <c:v>481</c:v>
                </c:pt>
                <c:pt idx="374">
                  <c:v>641</c:v>
                </c:pt>
                <c:pt idx="375">
                  <c:v>589</c:v>
                </c:pt>
                <c:pt idx="376">
                  <c:v>789</c:v>
                </c:pt>
                <c:pt idx="377">
                  <c:v>550</c:v>
                </c:pt>
                <c:pt idx="378">
                  <c:v>794</c:v>
                </c:pt>
                <c:pt idx="379">
                  <c:v>589</c:v>
                </c:pt>
                <c:pt idx="380">
                  <c:v>589</c:v>
                </c:pt>
                <c:pt idx="381">
                  <c:v>483</c:v>
                </c:pt>
                <c:pt idx="382">
                  <c:v>264</c:v>
                </c:pt>
                <c:pt idx="383">
                  <c:v>469</c:v>
                </c:pt>
                <c:pt idx="384">
                  <c:v>289</c:v>
                </c:pt>
                <c:pt idx="385">
                  <c:v>491</c:v>
                </c:pt>
                <c:pt idx="386">
                  <c:v>786</c:v>
                </c:pt>
                <c:pt idx="387">
                  <c:v>274</c:v>
                </c:pt>
                <c:pt idx="388">
                  <c:v>489</c:v>
                </c:pt>
                <c:pt idx="389">
                  <c:v>489</c:v>
                </c:pt>
                <c:pt idx="390">
                  <c:v>855</c:v>
                </c:pt>
                <c:pt idx="391">
                  <c:v>449</c:v>
                </c:pt>
                <c:pt idx="392">
                  <c:v>552</c:v>
                </c:pt>
                <c:pt idx="393">
                  <c:v>452</c:v>
                </c:pt>
                <c:pt idx="394">
                  <c:v>285</c:v>
                </c:pt>
                <c:pt idx="395">
                  <c:v>536</c:v>
                </c:pt>
                <c:pt idx="396">
                  <c:v>573</c:v>
                </c:pt>
                <c:pt idx="397">
                  <c:v>829</c:v>
                </c:pt>
                <c:pt idx="398">
                  <c:v>536</c:v>
                </c:pt>
                <c:pt idx="399">
                  <c:v>637</c:v>
                </c:pt>
                <c:pt idx="400">
                  <c:v>363</c:v>
                </c:pt>
                <c:pt idx="401">
                  <c:v>623</c:v>
                </c:pt>
                <c:pt idx="402">
                  <c:v>460</c:v>
                </c:pt>
                <c:pt idx="403">
                  <c:v>677</c:v>
                </c:pt>
                <c:pt idx="404">
                  <c:v>648</c:v>
                </c:pt>
                <c:pt idx="405">
                  <c:v>547</c:v>
                </c:pt>
                <c:pt idx="406">
                  <c:v>565</c:v>
                </c:pt>
                <c:pt idx="407">
                  <c:v>480</c:v>
                </c:pt>
                <c:pt idx="408">
                  <c:v>545</c:v>
                </c:pt>
                <c:pt idx="409">
                  <c:v>494</c:v>
                </c:pt>
                <c:pt idx="410">
                  <c:v>589</c:v>
                </c:pt>
                <c:pt idx="411">
                  <c:v>637</c:v>
                </c:pt>
                <c:pt idx="412">
                  <c:v>300</c:v>
                </c:pt>
                <c:pt idx="413">
                  <c:v>441</c:v>
                </c:pt>
                <c:pt idx="414">
                  <c:v>589</c:v>
                </c:pt>
                <c:pt idx="415">
                  <c:v>489</c:v>
                </c:pt>
                <c:pt idx="416">
                  <c:v>483</c:v>
                </c:pt>
                <c:pt idx="417">
                  <c:v>489</c:v>
                </c:pt>
                <c:pt idx="418">
                  <c:v>689</c:v>
                </c:pt>
                <c:pt idx="419">
                  <c:v>386</c:v>
                </c:pt>
                <c:pt idx="420">
                  <c:v>389</c:v>
                </c:pt>
                <c:pt idx="421">
                  <c:v>497</c:v>
                </c:pt>
                <c:pt idx="422">
                  <c:v>372</c:v>
                </c:pt>
                <c:pt idx="423">
                  <c:v>329</c:v>
                </c:pt>
                <c:pt idx="424">
                  <c:v>431</c:v>
                </c:pt>
                <c:pt idx="425">
                  <c:v>589</c:v>
                </c:pt>
                <c:pt idx="426">
                  <c:v>577</c:v>
                </c:pt>
                <c:pt idx="427">
                  <c:v>597</c:v>
                </c:pt>
                <c:pt idx="428">
                  <c:v>684</c:v>
                </c:pt>
                <c:pt idx="429">
                  <c:v>589</c:v>
                </c:pt>
                <c:pt idx="430">
                  <c:v>889</c:v>
                </c:pt>
                <c:pt idx="431">
                  <c:v>529</c:v>
                </c:pt>
                <c:pt idx="432">
                  <c:v>434</c:v>
                </c:pt>
                <c:pt idx="433">
                  <c:v>640</c:v>
                </c:pt>
                <c:pt idx="434">
                  <c:v>519</c:v>
                </c:pt>
                <c:pt idx="435">
                  <c:v>537</c:v>
                </c:pt>
                <c:pt idx="436">
                  <c:v>511</c:v>
                </c:pt>
                <c:pt idx="437">
                  <c:v>668</c:v>
                </c:pt>
                <c:pt idx="438">
                  <c:v>432</c:v>
                </c:pt>
                <c:pt idx="439">
                  <c:v>429</c:v>
                </c:pt>
                <c:pt idx="440">
                  <c:v>289</c:v>
                </c:pt>
                <c:pt idx="441">
                  <c:v>489</c:v>
                </c:pt>
                <c:pt idx="442">
                  <c:v>562</c:v>
                </c:pt>
                <c:pt idx="443">
                  <c:v>309</c:v>
                </c:pt>
                <c:pt idx="444">
                  <c:v>439</c:v>
                </c:pt>
                <c:pt idx="445">
                  <c:v>426</c:v>
                </c:pt>
                <c:pt idx="446">
                  <c:v>522</c:v>
                </c:pt>
                <c:pt idx="447">
                  <c:v>576</c:v>
                </c:pt>
                <c:pt idx="448">
                  <c:v>434</c:v>
                </c:pt>
                <c:pt idx="449">
                  <c:v>536</c:v>
                </c:pt>
                <c:pt idx="450">
                  <c:v>474</c:v>
                </c:pt>
                <c:pt idx="451">
                  <c:v>401</c:v>
                </c:pt>
                <c:pt idx="452">
                  <c:v>473</c:v>
                </c:pt>
                <c:pt idx="453">
                  <c:v>561</c:v>
                </c:pt>
                <c:pt idx="454">
                  <c:v>439</c:v>
                </c:pt>
                <c:pt idx="455">
                  <c:v>600</c:v>
                </c:pt>
                <c:pt idx="456">
                  <c:v>568</c:v>
                </c:pt>
                <c:pt idx="457">
                  <c:v>669</c:v>
                </c:pt>
                <c:pt idx="458">
                  <c:v>589</c:v>
                </c:pt>
                <c:pt idx="459">
                  <c:v>569</c:v>
                </c:pt>
                <c:pt idx="460">
                  <c:v>603</c:v>
                </c:pt>
                <c:pt idx="461">
                  <c:v>618</c:v>
                </c:pt>
                <c:pt idx="462">
                  <c:v>433</c:v>
                </c:pt>
                <c:pt idx="463">
                  <c:v>311</c:v>
                </c:pt>
                <c:pt idx="464">
                  <c:v>289</c:v>
                </c:pt>
                <c:pt idx="465">
                  <c:v>950</c:v>
                </c:pt>
                <c:pt idx="466">
                  <c:v>468</c:v>
                </c:pt>
                <c:pt idx="467">
                  <c:v>668</c:v>
                </c:pt>
                <c:pt idx="468">
                  <c:v>447</c:v>
                </c:pt>
                <c:pt idx="469">
                  <c:v>823</c:v>
                </c:pt>
                <c:pt idx="470">
                  <c:v>477</c:v>
                </c:pt>
                <c:pt idx="471">
                  <c:v>494</c:v>
                </c:pt>
                <c:pt idx="472">
                  <c:v>522</c:v>
                </c:pt>
                <c:pt idx="473">
                  <c:v>438</c:v>
                </c:pt>
                <c:pt idx="474">
                  <c:v>717</c:v>
                </c:pt>
                <c:pt idx="475">
                  <c:v>291</c:v>
                </c:pt>
                <c:pt idx="476">
                  <c:v>320</c:v>
                </c:pt>
                <c:pt idx="477">
                  <c:v>561</c:v>
                </c:pt>
                <c:pt idx="478">
                  <c:v>632</c:v>
                </c:pt>
                <c:pt idx="479">
                  <c:v>521</c:v>
                </c:pt>
                <c:pt idx="480">
                  <c:v>493</c:v>
                </c:pt>
                <c:pt idx="481">
                  <c:v>380</c:v>
                </c:pt>
                <c:pt idx="482">
                  <c:v>407</c:v>
                </c:pt>
                <c:pt idx="483">
                  <c:v>495</c:v>
                </c:pt>
                <c:pt idx="484">
                  <c:v>518</c:v>
                </c:pt>
                <c:pt idx="485">
                  <c:v>589</c:v>
                </c:pt>
                <c:pt idx="486">
                  <c:v>554</c:v>
                </c:pt>
                <c:pt idx="487">
                  <c:v>517</c:v>
                </c:pt>
                <c:pt idx="488">
                  <c:v>675</c:v>
                </c:pt>
                <c:pt idx="489">
                  <c:v>474</c:v>
                </c:pt>
                <c:pt idx="490">
                  <c:v>539</c:v>
                </c:pt>
                <c:pt idx="491">
                  <c:v>661</c:v>
                </c:pt>
                <c:pt idx="492">
                  <c:v>311</c:v>
                </c:pt>
                <c:pt idx="493">
                  <c:v>289</c:v>
                </c:pt>
                <c:pt idx="494">
                  <c:v>535</c:v>
                </c:pt>
                <c:pt idx="495">
                  <c:v>581</c:v>
                </c:pt>
                <c:pt idx="496">
                  <c:v>571</c:v>
                </c:pt>
                <c:pt idx="497">
                  <c:v>489</c:v>
                </c:pt>
                <c:pt idx="498">
                  <c:v>500</c:v>
                </c:pt>
                <c:pt idx="499">
                  <c:v>397</c:v>
                </c:pt>
                <c:pt idx="500">
                  <c:v>329</c:v>
                </c:pt>
                <c:pt idx="501">
                  <c:v>468</c:v>
                </c:pt>
                <c:pt idx="502">
                  <c:v>835</c:v>
                </c:pt>
                <c:pt idx="503">
                  <c:v>289</c:v>
                </c:pt>
                <c:pt idx="504">
                  <c:v>539</c:v>
                </c:pt>
                <c:pt idx="505">
                  <c:v>389</c:v>
                </c:pt>
                <c:pt idx="506">
                  <c:v>289</c:v>
                </c:pt>
                <c:pt idx="507">
                  <c:v>589</c:v>
                </c:pt>
                <c:pt idx="508">
                  <c:v>614</c:v>
                </c:pt>
                <c:pt idx="509">
                  <c:v>590</c:v>
                </c:pt>
                <c:pt idx="510">
                  <c:v>692</c:v>
                </c:pt>
                <c:pt idx="511">
                  <c:v>349</c:v>
                </c:pt>
                <c:pt idx="512">
                  <c:v>511</c:v>
                </c:pt>
                <c:pt idx="513">
                  <c:v>579</c:v>
                </c:pt>
                <c:pt idx="514">
                  <c:v>531</c:v>
                </c:pt>
                <c:pt idx="515">
                  <c:v>482</c:v>
                </c:pt>
                <c:pt idx="516">
                  <c:v>530</c:v>
                </c:pt>
                <c:pt idx="517">
                  <c:v>487</c:v>
                </c:pt>
                <c:pt idx="518">
                  <c:v>306</c:v>
                </c:pt>
                <c:pt idx="519">
                  <c:v>493</c:v>
                </c:pt>
                <c:pt idx="520">
                  <c:v>558</c:v>
                </c:pt>
                <c:pt idx="521">
                  <c:v>394</c:v>
                </c:pt>
                <c:pt idx="522">
                  <c:v>407</c:v>
                </c:pt>
                <c:pt idx="523">
                  <c:v>425</c:v>
                </c:pt>
                <c:pt idx="524">
                  <c:v>440</c:v>
                </c:pt>
                <c:pt idx="525">
                  <c:v>889</c:v>
                </c:pt>
                <c:pt idx="526">
                  <c:v>459</c:v>
                </c:pt>
                <c:pt idx="527">
                  <c:v>509</c:v>
                </c:pt>
                <c:pt idx="528">
                  <c:v>325</c:v>
                </c:pt>
                <c:pt idx="529">
                  <c:v>708</c:v>
                </c:pt>
                <c:pt idx="530">
                  <c:v>389</c:v>
                </c:pt>
                <c:pt idx="531">
                  <c:v>310</c:v>
                </c:pt>
                <c:pt idx="532">
                  <c:v>396</c:v>
                </c:pt>
                <c:pt idx="533">
                  <c:v>406</c:v>
                </c:pt>
                <c:pt idx="534">
                  <c:v>629</c:v>
                </c:pt>
                <c:pt idx="535">
                  <c:v>312</c:v>
                </c:pt>
                <c:pt idx="536">
                  <c:v>831</c:v>
                </c:pt>
                <c:pt idx="537">
                  <c:v>376</c:v>
                </c:pt>
                <c:pt idx="538">
                  <c:v>489</c:v>
                </c:pt>
                <c:pt idx="539">
                  <c:v>590</c:v>
                </c:pt>
                <c:pt idx="540">
                  <c:v>325</c:v>
                </c:pt>
                <c:pt idx="541">
                  <c:v>773</c:v>
                </c:pt>
                <c:pt idx="542">
                  <c:v>383</c:v>
                </c:pt>
                <c:pt idx="543">
                  <c:v>589</c:v>
                </c:pt>
                <c:pt idx="544">
                  <c:v>442</c:v>
                </c:pt>
                <c:pt idx="545">
                  <c:v>442</c:v>
                </c:pt>
                <c:pt idx="546">
                  <c:v>389</c:v>
                </c:pt>
                <c:pt idx="547">
                  <c:v>495</c:v>
                </c:pt>
                <c:pt idx="548">
                  <c:v>409</c:v>
                </c:pt>
                <c:pt idx="549">
                  <c:v>592</c:v>
                </c:pt>
                <c:pt idx="550">
                  <c:v>500</c:v>
                </c:pt>
                <c:pt idx="551">
                  <c:v>637</c:v>
                </c:pt>
                <c:pt idx="552">
                  <c:v>330</c:v>
                </c:pt>
                <c:pt idx="553">
                  <c:v>528</c:v>
                </c:pt>
                <c:pt idx="554">
                  <c:v>629</c:v>
                </c:pt>
                <c:pt idx="555">
                  <c:v>241</c:v>
                </c:pt>
                <c:pt idx="556">
                  <c:v>460</c:v>
                </c:pt>
                <c:pt idx="557">
                  <c:v>552</c:v>
                </c:pt>
                <c:pt idx="558">
                  <c:v>384</c:v>
                </c:pt>
                <c:pt idx="559">
                  <c:v>486</c:v>
                </c:pt>
                <c:pt idx="560">
                  <c:v>389</c:v>
                </c:pt>
                <c:pt idx="561">
                  <c:v>432</c:v>
                </c:pt>
                <c:pt idx="562">
                  <c:v>289</c:v>
                </c:pt>
                <c:pt idx="563">
                  <c:v>497</c:v>
                </c:pt>
                <c:pt idx="564">
                  <c:v>531</c:v>
                </c:pt>
                <c:pt idx="565">
                  <c:v>389</c:v>
                </c:pt>
                <c:pt idx="566">
                  <c:v>647</c:v>
                </c:pt>
                <c:pt idx="567">
                  <c:v>577</c:v>
                </c:pt>
                <c:pt idx="568">
                  <c:v>289</c:v>
                </c:pt>
                <c:pt idx="569">
                  <c:v>546</c:v>
                </c:pt>
                <c:pt idx="570">
                  <c:v>574</c:v>
                </c:pt>
                <c:pt idx="571">
                  <c:v>439</c:v>
                </c:pt>
                <c:pt idx="572">
                  <c:v>632</c:v>
                </c:pt>
                <c:pt idx="573">
                  <c:v>621</c:v>
                </c:pt>
                <c:pt idx="574">
                  <c:v>290</c:v>
                </c:pt>
                <c:pt idx="575">
                  <c:v>569</c:v>
                </c:pt>
                <c:pt idx="576">
                  <c:v>565</c:v>
                </c:pt>
                <c:pt idx="577">
                  <c:v>571</c:v>
                </c:pt>
                <c:pt idx="578">
                  <c:v>491</c:v>
                </c:pt>
                <c:pt idx="579">
                  <c:v>550</c:v>
                </c:pt>
                <c:pt idx="580">
                  <c:v>866</c:v>
                </c:pt>
                <c:pt idx="581">
                  <c:v>730</c:v>
                </c:pt>
                <c:pt idx="582">
                  <c:v>624</c:v>
                </c:pt>
                <c:pt idx="583">
                  <c:v>526</c:v>
                </c:pt>
                <c:pt idx="584">
                  <c:v>525</c:v>
                </c:pt>
                <c:pt idx="585">
                  <c:v>489</c:v>
                </c:pt>
                <c:pt idx="586">
                  <c:v>579</c:v>
                </c:pt>
                <c:pt idx="587">
                  <c:v>606</c:v>
                </c:pt>
                <c:pt idx="588">
                  <c:v>289</c:v>
                </c:pt>
                <c:pt idx="589">
                  <c:v>518</c:v>
                </c:pt>
                <c:pt idx="590">
                  <c:v>544</c:v>
                </c:pt>
                <c:pt idx="591">
                  <c:v>556</c:v>
                </c:pt>
                <c:pt idx="592">
                  <c:v>489</c:v>
                </c:pt>
                <c:pt idx="593">
                  <c:v>418</c:v>
                </c:pt>
                <c:pt idx="594">
                  <c:v>727</c:v>
                </c:pt>
                <c:pt idx="595">
                  <c:v>717</c:v>
                </c:pt>
                <c:pt idx="596">
                  <c:v>191</c:v>
                </c:pt>
                <c:pt idx="597">
                  <c:v>417</c:v>
                </c:pt>
                <c:pt idx="598">
                  <c:v>598</c:v>
                </c:pt>
                <c:pt idx="599">
                  <c:v>215</c:v>
                </c:pt>
                <c:pt idx="600">
                  <c:v>593</c:v>
                </c:pt>
                <c:pt idx="601">
                  <c:v>479</c:v>
                </c:pt>
                <c:pt idx="602">
                  <c:v>477</c:v>
                </c:pt>
                <c:pt idx="603">
                  <c:v>432</c:v>
                </c:pt>
                <c:pt idx="604">
                  <c:v>224</c:v>
                </c:pt>
                <c:pt idx="605">
                  <c:v>589</c:v>
                </c:pt>
                <c:pt idx="606">
                  <c:v>447</c:v>
                </c:pt>
                <c:pt idx="607">
                  <c:v>516</c:v>
                </c:pt>
                <c:pt idx="608">
                  <c:v>499</c:v>
                </c:pt>
                <c:pt idx="609">
                  <c:v>339</c:v>
                </c:pt>
                <c:pt idx="610">
                  <c:v>580</c:v>
                </c:pt>
                <c:pt idx="611">
                  <c:v>289</c:v>
                </c:pt>
                <c:pt idx="612">
                  <c:v>425</c:v>
                </c:pt>
                <c:pt idx="613">
                  <c:v>496</c:v>
                </c:pt>
                <c:pt idx="614">
                  <c:v>675</c:v>
                </c:pt>
                <c:pt idx="615">
                  <c:v>439</c:v>
                </c:pt>
                <c:pt idx="616">
                  <c:v>596</c:v>
                </c:pt>
                <c:pt idx="617">
                  <c:v>334</c:v>
                </c:pt>
                <c:pt idx="618">
                  <c:v>539</c:v>
                </c:pt>
                <c:pt idx="619">
                  <c:v>439</c:v>
                </c:pt>
                <c:pt idx="620">
                  <c:v>439</c:v>
                </c:pt>
                <c:pt idx="621">
                  <c:v>415</c:v>
                </c:pt>
                <c:pt idx="622">
                  <c:v>400</c:v>
                </c:pt>
                <c:pt idx="623">
                  <c:v>820</c:v>
                </c:pt>
                <c:pt idx="624">
                  <c:v>668</c:v>
                </c:pt>
                <c:pt idx="625">
                  <c:v>760</c:v>
                </c:pt>
                <c:pt idx="626">
                  <c:v>397</c:v>
                </c:pt>
                <c:pt idx="627">
                  <c:v>371</c:v>
                </c:pt>
                <c:pt idx="628">
                  <c:v>405</c:v>
                </c:pt>
                <c:pt idx="629">
                  <c:v>417</c:v>
                </c:pt>
                <c:pt idx="630">
                  <c:v>366</c:v>
                </c:pt>
                <c:pt idx="631">
                  <c:v>529</c:v>
                </c:pt>
                <c:pt idx="632">
                  <c:v>497</c:v>
                </c:pt>
                <c:pt idx="633">
                  <c:v>475</c:v>
                </c:pt>
                <c:pt idx="634">
                  <c:v>650</c:v>
                </c:pt>
                <c:pt idx="635">
                  <c:v>567</c:v>
                </c:pt>
                <c:pt idx="636">
                  <c:v>386</c:v>
                </c:pt>
                <c:pt idx="637">
                  <c:v>687</c:v>
                </c:pt>
                <c:pt idx="638">
                  <c:v>371</c:v>
                </c:pt>
                <c:pt idx="639">
                  <c:v>589</c:v>
                </c:pt>
                <c:pt idx="640">
                  <c:v>584</c:v>
                </c:pt>
                <c:pt idx="641">
                  <c:v>518</c:v>
                </c:pt>
                <c:pt idx="642">
                  <c:v>439</c:v>
                </c:pt>
                <c:pt idx="643">
                  <c:v>434</c:v>
                </c:pt>
                <c:pt idx="644">
                  <c:v>422</c:v>
                </c:pt>
                <c:pt idx="645">
                  <c:v>621</c:v>
                </c:pt>
                <c:pt idx="646">
                  <c:v>499</c:v>
                </c:pt>
                <c:pt idx="647">
                  <c:v>389</c:v>
                </c:pt>
                <c:pt idx="648">
                  <c:v>489</c:v>
                </c:pt>
                <c:pt idx="649">
                  <c:v>427</c:v>
                </c:pt>
                <c:pt idx="650">
                  <c:v>576</c:v>
                </c:pt>
                <c:pt idx="651">
                  <c:v>473</c:v>
                </c:pt>
                <c:pt idx="652">
                  <c:v>526</c:v>
                </c:pt>
                <c:pt idx="653">
                  <c:v>359</c:v>
                </c:pt>
                <c:pt idx="654">
                  <c:v>589</c:v>
                </c:pt>
                <c:pt idx="655">
                  <c:v>439</c:v>
                </c:pt>
                <c:pt idx="656">
                  <c:v>426</c:v>
                </c:pt>
                <c:pt idx="657">
                  <c:v>464</c:v>
                </c:pt>
                <c:pt idx="658">
                  <c:v>605</c:v>
                </c:pt>
                <c:pt idx="659">
                  <c:v>657</c:v>
                </c:pt>
                <c:pt idx="660">
                  <c:v>491</c:v>
                </c:pt>
                <c:pt idx="661">
                  <c:v>688</c:v>
                </c:pt>
                <c:pt idx="662">
                  <c:v>497</c:v>
                </c:pt>
                <c:pt idx="663">
                  <c:v>536</c:v>
                </c:pt>
                <c:pt idx="664">
                  <c:v>449</c:v>
                </c:pt>
                <c:pt idx="665">
                  <c:v>530</c:v>
                </c:pt>
                <c:pt idx="666">
                  <c:v>631</c:v>
                </c:pt>
                <c:pt idx="667">
                  <c:v>505</c:v>
                </c:pt>
                <c:pt idx="668">
                  <c:v>558</c:v>
                </c:pt>
                <c:pt idx="669">
                  <c:v>789</c:v>
                </c:pt>
                <c:pt idx="670">
                  <c:v>928</c:v>
                </c:pt>
                <c:pt idx="671">
                  <c:v>434</c:v>
                </c:pt>
                <c:pt idx="672">
                  <c:v>511</c:v>
                </c:pt>
                <c:pt idx="673">
                  <c:v>328</c:v>
                </c:pt>
                <c:pt idx="674">
                  <c:v>471</c:v>
                </c:pt>
                <c:pt idx="675">
                  <c:v>496</c:v>
                </c:pt>
                <c:pt idx="676">
                  <c:v>591</c:v>
                </c:pt>
                <c:pt idx="677">
                  <c:v>778</c:v>
                </c:pt>
                <c:pt idx="678">
                  <c:v>507</c:v>
                </c:pt>
                <c:pt idx="679">
                  <c:v>168</c:v>
                </c:pt>
                <c:pt idx="680">
                  <c:v>443</c:v>
                </c:pt>
                <c:pt idx="681">
                  <c:v>492</c:v>
                </c:pt>
                <c:pt idx="682">
                  <c:v>468</c:v>
                </c:pt>
                <c:pt idx="683">
                  <c:v>556</c:v>
                </c:pt>
                <c:pt idx="684">
                  <c:v>289</c:v>
                </c:pt>
                <c:pt idx="685">
                  <c:v>449</c:v>
                </c:pt>
                <c:pt idx="686">
                  <c:v>340</c:v>
                </c:pt>
                <c:pt idx="687">
                  <c:v>363</c:v>
                </c:pt>
                <c:pt idx="688">
                  <c:v>389</c:v>
                </c:pt>
                <c:pt idx="689">
                  <c:v>649</c:v>
                </c:pt>
                <c:pt idx="690">
                  <c:v>506</c:v>
                </c:pt>
                <c:pt idx="691">
                  <c:v>439</c:v>
                </c:pt>
                <c:pt idx="692">
                  <c:v>499</c:v>
                </c:pt>
                <c:pt idx="693">
                  <c:v>533</c:v>
                </c:pt>
                <c:pt idx="694">
                  <c:v>463</c:v>
                </c:pt>
                <c:pt idx="695">
                  <c:v>504</c:v>
                </c:pt>
                <c:pt idx="696">
                  <c:v>589</c:v>
                </c:pt>
                <c:pt idx="697">
                  <c:v>596</c:v>
                </c:pt>
                <c:pt idx="698">
                  <c:v>539</c:v>
                </c:pt>
                <c:pt idx="699">
                  <c:v>507</c:v>
                </c:pt>
                <c:pt idx="700">
                  <c:v>586</c:v>
                </c:pt>
                <c:pt idx="701">
                  <c:v>378</c:v>
                </c:pt>
                <c:pt idx="702">
                  <c:v>484</c:v>
                </c:pt>
                <c:pt idx="703">
                  <c:v>489</c:v>
                </c:pt>
                <c:pt idx="704">
                  <c:v>527</c:v>
                </c:pt>
                <c:pt idx="705">
                  <c:v>416</c:v>
                </c:pt>
                <c:pt idx="706">
                  <c:v>463</c:v>
                </c:pt>
                <c:pt idx="707">
                  <c:v>508</c:v>
                </c:pt>
                <c:pt idx="708">
                  <c:v>589</c:v>
                </c:pt>
                <c:pt idx="709">
                  <c:v>544</c:v>
                </c:pt>
                <c:pt idx="710">
                  <c:v>373</c:v>
                </c:pt>
                <c:pt idx="711">
                  <c:v>690</c:v>
                </c:pt>
                <c:pt idx="712">
                  <c:v>389</c:v>
                </c:pt>
                <c:pt idx="713">
                  <c:v>376</c:v>
                </c:pt>
                <c:pt idx="714">
                  <c:v>580</c:v>
                </c:pt>
                <c:pt idx="715">
                  <c:v>789</c:v>
                </c:pt>
                <c:pt idx="716">
                  <c:v>538</c:v>
                </c:pt>
                <c:pt idx="717">
                  <c:v>720</c:v>
                </c:pt>
                <c:pt idx="718">
                  <c:v>453</c:v>
                </c:pt>
                <c:pt idx="719">
                  <c:v>580</c:v>
                </c:pt>
                <c:pt idx="720">
                  <c:v>594</c:v>
                </c:pt>
                <c:pt idx="721">
                  <c:v>575</c:v>
                </c:pt>
                <c:pt idx="722">
                  <c:v>726</c:v>
                </c:pt>
                <c:pt idx="723">
                  <c:v>572</c:v>
                </c:pt>
                <c:pt idx="724">
                  <c:v>775</c:v>
                </c:pt>
                <c:pt idx="725">
                  <c:v>553</c:v>
                </c:pt>
                <c:pt idx="726">
                  <c:v>498</c:v>
                </c:pt>
                <c:pt idx="727">
                  <c:v>430</c:v>
                </c:pt>
                <c:pt idx="728">
                  <c:v>474</c:v>
                </c:pt>
                <c:pt idx="729">
                  <c:v>447</c:v>
                </c:pt>
                <c:pt idx="730">
                  <c:v>426</c:v>
                </c:pt>
                <c:pt idx="731">
                  <c:v>445</c:v>
                </c:pt>
                <c:pt idx="732">
                  <c:v>481</c:v>
                </c:pt>
                <c:pt idx="733">
                  <c:v>359</c:v>
                </c:pt>
                <c:pt idx="734">
                  <c:v>439</c:v>
                </c:pt>
                <c:pt idx="735">
                  <c:v>502</c:v>
                </c:pt>
                <c:pt idx="736">
                  <c:v>520</c:v>
                </c:pt>
                <c:pt idx="737">
                  <c:v>366</c:v>
                </c:pt>
                <c:pt idx="738">
                  <c:v>389</c:v>
                </c:pt>
                <c:pt idx="739">
                  <c:v>589</c:v>
                </c:pt>
                <c:pt idx="740">
                  <c:v>289</c:v>
                </c:pt>
                <c:pt idx="741">
                  <c:v>452</c:v>
                </c:pt>
                <c:pt idx="742">
                  <c:v>405</c:v>
                </c:pt>
                <c:pt idx="743">
                  <c:v>459</c:v>
                </c:pt>
                <c:pt idx="744">
                  <c:v>517</c:v>
                </c:pt>
                <c:pt idx="745">
                  <c:v>748</c:v>
                </c:pt>
                <c:pt idx="746">
                  <c:v>607</c:v>
                </c:pt>
                <c:pt idx="747">
                  <c:v>494</c:v>
                </c:pt>
                <c:pt idx="748">
                  <c:v>539</c:v>
                </c:pt>
                <c:pt idx="749">
                  <c:v>589</c:v>
                </c:pt>
                <c:pt idx="750">
                  <c:v>541</c:v>
                </c:pt>
                <c:pt idx="751">
                  <c:v>539</c:v>
                </c:pt>
                <c:pt idx="752">
                  <c:v>441</c:v>
                </c:pt>
                <c:pt idx="753">
                  <c:v>539</c:v>
                </c:pt>
                <c:pt idx="754">
                  <c:v>433</c:v>
                </c:pt>
                <c:pt idx="755">
                  <c:v>636</c:v>
                </c:pt>
                <c:pt idx="756">
                  <c:v>717</c:v>
                </c:pt>
                <c:pt idx="757">
                  <c:v>347</c:v>
                </c:pt>
                <c:pt idx="758">
                  <c:v>507</c:v>
                </c:pt>
                <c:pt idx="759">
                  <c:v>351</c:v>
                </c:pt>
                <c:pt idx="760">
                  <c:v>518</c:v>
                </c:pt>
                <c:pt idx="761">
                  <c:v>505</c:v>
                </c:pt>
                <c:pt idx="762">
                  <c:v>488</c:v>
                </c:pt>
                <c:pt idx="763">
                  <c:v>479</c:v>
                </c:pt>
                <c:pt idx="764">
                  <c:v>374</c:v>
                </c:pt>
                <c:pt idx="765">
                  <c:v>725</c:v>
                </c:pt>
                <c:pt idx="766">
                  <c:v>272</c:v>
                </c:pt>
                <c:pt idx="767">
                  <c:v>539</c:v>
                </c:pt>
                <c:pt idx="768">
                  <c:v>557</c:v>
                </c:pt>
                <c:pt idx="769">
                  <c:v>554</c:v>
                </c:pt>
                <c:pt idx="770">
                  <c:v>417</c:v>
                </c:pt>
                <c:pt idx="771">
                  <c:v>350</c:v>
                </c:pt>
                <c:pt idx="772">
                  <c:v>501</c:v>
                </c:pt>
                <c:pt idx="773">
                  <c:v>599</c:v>
                </c:pt>
                <c:pt idx="774">
                  <c:v>378</c:v>
                </c:pt>
                <c:pt idx="775">
                  <c:v>589</c:v>
                </c:pt>
                <c:pt idx="776">
                  <c:v>589</c:v>
                </c:pt>
                <c:pt idx="777">
                  <c:v>506</c:v>
                </c:pt>
                <c:pt idx="778">
                  <c:v>396</c:v>
                </c:pt>
                <c:pt idx="779">
                  <c:v>293</c:v>
                </c:pt>
                <c:pt idx="780">
                  <c:v>572</c:v>
                </c:pt>
                <c:pt idx="781">
                  <c:v>721</c:v>
                </c:pt>
                <c:pt idx="782">
                  <c:v>574</c:v>
                </c:pt>
                <c:pt idx="783">
                  <c:v>556</c:v>
                </c:pt>
                <c:pt idx="784">
                  <c:v>824</c:v>
                </c:pt>
                <c:pt idx="785">
                  <c:v>484</c:v>
                </c:pt>
                <c:pt idx="786">
                  <c:v>684</c:v>
                </c:pt>
                <c:pt idx="787">
                  <c:v>442</c:v>
                </c:pt>
                <c:pt idx="788">
                  <c:v>536</c:v>
                </c:pt>
                <c:pt idx="789">
                  <c:v>589</c:v>
                </c:pt>
                <c:pt idx="790">
                  <c:v>525</c:v>
                </c:pt>
                <c:pt idx="791">
                  <c:v>558</c:v>
                </c:pt>
                <c:pt idx="792">
                  <c:v>388</c:v>
                </c:pt>
                <c:pt idx="793">
                  <c:v>255</c:v>
                </c:pt>
                <c:pt idx="794">
                  <c:v>442</c:v>
                </c:pt>
                <c:pt idx="795">
                  <c:v>408</c:v>
                </c:pt>
                <c:pt idx="796">
                  <c:v>678</c:v>
                </c:pt>
                <c:pt idx="797">
                  <c:v>515</c:v>
                </c:pt>
                <c:pt idx="798">
                  <c:v>482</c:v>
                </c:pt>
                <c:pt idx="799">
                  <c:v>623</c:v>
                </c:pt>
                <c:pt idx="800">
                  <c:v>676</c:v>
                </c:pt>
                <c:pt idx="801">
                  <c:v>589</c:v>
                </c:pt>
                <c:pt idx="802">
                  <c:v>583</c:v>
                </c:pt>
                <c:pt idx="803">
                  <c:v>497</c:v>
                </c:pt>
                <c:pt idx="804">
                  <c:v>301</c:v>
                </c:pt>
                <c:pt idx="805">
                  <c:v>662</c:v>
                </c:pt>
                <c:pt idx="806">
                  <c:v>464</c:v>
                </c:pt>
                <c:pt idx="807">
                  <c:v>376</c:v>
                </c:pt>
                <c:pt idx="808">
                  <c:v>715</c:v>
                </c:pt>
                <c:pt idx="809">
                  <c:v>581</c:v>
                </c:pt>
                <c:pt idx="810">
                  <c:v>429</c:v>
                </c:pt>
                <c:pt idx="811">
                  <c:v>498</c:v>
                </c:pt>
                <c:pt idx="812">
                  <c:v>589</c:v>
                </c:pt>
                <c:pt idx="813">
                  <c:v>289</c:v>
                </c:pt>
                <c:pt idx="814">
                  <c:v>435</c:v>
                </c:pt>
                <c:pt idx="815">
                  <c:v>689</c:v>
                </c:pt>
                <c:pt idx="816">
                  <c:v>518</c:v>
                </c:pt>
                <c:pt idx="817">
                  <c:v>579</c:v>
                </c:pt>
                <c:pt idx="818">
                  <c:v>389</c:v>
                </c:pt>
                <c:pt idx="819">
                  <c:v>488</c:v>
                </c:pt>
                <c:pt idx="820">
                  <c:v>746</c:v>
                </c:pt>
                <c:pt idx="821">
                  <c:v>289</c:v>
                </c:pt>
                <c:pt idx="822">
                  <c:v>766</c:v>
                </c:pt>
                <c:pt idx="823">
                  <c:v>789</c:v>
                </c:pt>
                <c:pt idx="824">
                  <c:v>489</c:v>
                </c:pt>
                <c:pt idx="825">
                  <c:v>520</c:v>
                </c:pt>
                <c:pt idx="826">
                  <c:v>452</c:v>
                </c:pt>
                <c:pt idx="827">
                  <c:v>551</c:v>
                </c:pt>
                <c:pt idx="828">
                  <c:v>527</c:v>
                </c:pt>
                <c:pt idx="829">
                  <c:v>398</c:v>
                </c:pt>
                <c:pt idx="830">
                  <c:v>878</c:v>
                </c:pt>
                <c:pt idx="831">
                  <c:v>418</c:v>
                </c:pt>
                <c:pt idx="832">
                  <c:v>389</c:v>
                </c:pt>
                <c:pt idx="833">
                  <c:v>646</c:v>
                </c:pt>
                <c:pt idx="834">
                  <c:v>525</c:v>
                </c:pt>
                <c:pt idx="835">
                  <c:v>273</c:v>
                </c:pt>
                <c:pt idx="836">
                  <c:v>206</c:v>
                </c:pt>
                <c:pt idx="837">
                  <c:v>404</c:v>
                </c:pt>
                <c:pt idx="838">
                  <c:v>564</c:v>
                </c:pt>
                <c:pt idx="839">
                  <c:v>529</c:v>
                </c:pt>
                <c:pt idx="840">
                  <c:v>889</c:v>
                </c:pt>
                <c:pt idx="841">
                  <c:v>339</c:v>
                </c:pt>
                <c:pt idx="842">
                  <c:v>672</c:v>
                </c:pt>
                <c:pt idx="843">
                  <c:v>518</c:v>
                </c:pt>
                <c:pt idx="844">
                  <c:v>323</c:v>
                </c:pt>
                <c:pt idx="845">
                  <c:v>326</c:v>
                </c:pt>
                <c:pt idx="846">
                  <c:v>589</c:v>
                </c:pt>
                <c:pt idx="847">
                  <c:v>508</c:v>
                </c:pt>
                <c:pt idx="848">
                  <c:v>541</c:v>
                </c:pt>
                <c:pt idx="849">
                  <c:v>441</c:v>
                </c:pt>
                <c:pt idx="850">
                  <c:v>450</c:v>
                </c:pt>
                <c:pt idx="851">
                  <c:v>294</c:v>
                </c:pt>
                <c:pt idx="852">
                  <c:v>424</c:v>
                </c:pt>
                <c:pt idx="853">
                  <c:v>317</c:v>
                </c:pt>
                <c:pt idx="854">
                  <c:v>507</c:v>
                </c:pt>
                <c:pt idx="855">
                  <c:v>393</c:v>
                </c:pt>
                <c:pt idx="856">
                  <c:v>579</c:v>
                </c:pt>
                <c:pt idx="857">
                  <c:v>367</c:v>
                </c:pt>
                <c:pt idx="858">
                  <c:v>513</c:v>
                </c:pt>
                <c:pt idx="859">
                  <c:v>473</c:v>
                </c:pt>
                <c:pt idx="860">
                  <c:v>438</c:v>
                </c:pt>
                <c:pt idx="861">
                  <c:v>517</c:v>
                </c:pt>
                <c:pt idx="862">
                  <c:v>323</c:v>
                </c:pt>
                <c:pt idx="863">
                  <c:v>331</c:v>
                </c:pt>
                <c:pt idx="864">
                  <c:v>364</c:v>
                </c:pt>
                <c:pt idx="865">
                  <c:v>455</c:v>
                </c:pt>
                <c:pt idx="866">
                  <c:v>438</c:v>
                </c:pt>
                <c:pt idx="867">
                  <c:v>519</c:v>
                </c:pt>
                <c:pt idx="868">
                  <c:v>763</c:v>
                </c:pt>
                <c:pt idx="869">
                  <c:v>650</c:v>
                </c:pt>
                <c:pt idx="870">
                  <c:v>635</c:v>
                </c:pt>
                <c:pt idx="871">
                  <c:v>635</c:v>
                </c:pt>
                <c:pt idx="872">
                  <c:v>412</c:v>
                </c:pt>
                <c:pt idx="873">
                  <c:v>778</c:v>
                </c:pt>
                <c:pt idx="874">
                  <c:v>391</c:v>
                </c:pt>
                <c:pt idx="875">
                  <c:v>398</c:v>
                </c:pt>
                <c:pt idx="876">
                  <c:v>289</c:v>
                </c:pt>
                <c:pt idx="877">
                  <c:v>289</c:v>
                </c:pt>
                <c:pt idx="878">
                  <c:v>397</c:v>
                </c:pt>
                <c:pt idx="879">
                  <c:v>658</c:v>
                </c:pt>
                <c:pt idx="880">
                  <c:v>459</c:v>
                </c:pt>
                <c:pt idx="881">
                  <c:v>496</c:v>
                </c:pt>
                <c:pt idx="882">
                  <c:v>270</c:v>
                </c:pt>
                <c:pt idx="883">
                  <c:v>480</c:v>
                </c:pt>
                <c:pt idx="884">
                  <c:v>585</c:v>
                </c:pt>
                <c:pt idx="885">
                  <c:v>384</c:v>
                </c:pt>
                <c:pt idx="886">
                  <c:v>594</c:v>
                </c:pt>
                <c:pt idx="887">
                  <c:v>322</c:v>
                </c:pt>
                <c:pt idx="888">
                  <c:v>624</c:v>
                </c:pt>
                <c:pt idx="889">
                  <c:v>604</c:v>
                </c:pt>
                <c:pt idx="890">
                  <c:v>384</c:v>
                </c:pt>
                <c:pt idx="891">
                  <c:v>424</c:v>
                </c:pt>
                <c:pt idx="892">
                  <c:v>489</c:v>
                </c:pt>
                <c:pt idx="893">
                  <c:v>796</c:v>
                </c:pt>
                <c:pt idx="894">
                  <c:v>477</c:v>
                </c:pt>
                <c:pt idx="895">
                  <c:v>411</c:v>
                </c:pt>
                <c:pt idx="896">
                  <c:v>439</c:v>
                </c:pt>
                <c:pt idx="897">
                  <c:v>560</c:v>
                </c:pt>
                <c:pt idx="898">
                  <c:v>400</c:v>
                </c:pt>
                <c:pt idx="899">
                  <c:v>368</c:v>
                </c:pt>
                <c:pt idx="900">
                  <c:v>335</c:v>
                </c:pt>
                <c:pt idx="901">
                  <c:v>463</c:v>
                </c:pt>
                <c:pt idx="902">
                  <c:v>394</c:v>
                </c:pt>
                <c:pt idx="903">
                  <c:v>749</c:v>
                </c:pt>
                <c:pt idx="904">
                  <c:v>410</c:v>
                </c:pt>
                <c:pt idx="905">
                  <c:v>433</c:v>
                </c:pt>
                <c:pt idx="906">
                  <c:v>519</c:v>
                </c:pt>
                <c:pt idx="907">
                  <c:v>589</c:v>
                </c:pt>
                <c:pt idx="908">
                  <c:v>842</c:v>
                </c:pt>
                <c:pt idx="909">
                  <c:v>589</c:v>
                </c:pt>
                <c:pt idx="910">
                  <c:v>539</c:v>
                </c:pt>
                <c:pt idx="911">
                  <c:v>428</c:v>
                </c:pt>
                <c:pt idx="912">
                  <c:v>587</c:v>
                </c:pt>
                <c:pt idx="913">
                  <c:v>481</c:v>
                </c:pt>
                <c:pt idx="914">
                  <c:v>778</c:v>
                </c:pt>
                <c:pt idx="915">
                  <c:v>479</c:v>
                </c:pt>
                <c:pt idx="916">
                  <c:v>582</c:v>
                </c:pt>
                <c:pt idx="917">
                  <c:v>651</c:v>
                </c:pt>
                <c:pt idx="918">
                  <c:v>574</c:v>
                </c:pt>
                <c:pt idx="919">
                  <c:v>673</c:v>
                </c:pt>
                <c:pt idx="920">
                  <c:v>534</c:v>
                </c:pt>
                <c:pt idx="921">
                  <c:v>398</c:v>
                </c:pt>
                <c:pt idx="922">
                  <c:v>289</c:v>
                </c:pt>
                <c:pt idx="923">
                  <c:v>589</c:v>
                </c:pt>
                <c:pt idx="924">
                  <c:v>271</c:v>
                </c:pt>
                <c:pt idx="925">
                  <c:v>384</c:v>
                </c:pt>
                <c:pt idx="926">
                  <c:v>407</c:v>
                </c:pt>
                <c:pt idx="927">
                  <c:v>967</c:v>
                </c:pt>
                <c:pt idx="928">
                  <c:v>630</c:v>
                </c:pt>
                <c:pt idx="929">
                  <c:v>377</c:v>
                </c:pt>
                <c:pt idx="930">
                  <c:v>456</c:v>
                </c:pt>
                <c:pt idx="931">
                  <c:v>704</c:v>
                </c:pt>
                <c:pt idx="932">
                  <c:v>503</c:v>
                </c:pt>
                <c:pt idx="933">
                  <c:v>363</c:v>
                </c:pt>
                <c:pt idx="934">
                  <c:v>453</c:v>
                </c:pt>
                <c:pt idx="935">
                  <c:v>456</c:v>
                </c:pt>
                <c:pt idx="936">
                  <c:v>480</c:v>
                </c:pt>
                <c:pt idx="937">
                  <c:v>425</c:v>
                </c:pt>
                <c:pt idx="938">
                  <c:v>424</c:v>
                </c:pt>
                <c:pt idx="939">
                  <c:v>732</c:v>
                </c:pt>
                <c:pt idx="940">
                  <c:v>895</c:v>
                </c:pt>
                <c:pt idx="941">
                  <c:v>477</c:v>
                </c:pt>
                <c:pt idx="942">
                  <c:v>571</c:v>
                </c:pt>
                <c:pt idx="943">
                  <c:v>744</c:v>
                </c:pt>
                <c:pt idx="944">
                  <c:v>419</c:v>
                </c:pt>
                <c:pt idx="945">
                  <c:v>550</c:v>
                </c:pt>
                <c:pt idx="946">
                  <c:v>588</c:v>
                </c:pt>
                <c:pt idx="947">
                  <c:v>443</c:v>
                </c:pt>
                <c:pt idx="948">
                  <c:v>539</c:v>
                </c:pt>
                <c:pt idx="949">
                  <c:v>397</c:v>
                </c:pt>
                <c:pt idx="950">
                  <c:v>368</c:v>
                </c:pt>
                <c:pt idx="951">
                  <c:v>496</c:v>
                </c:pt>
                <c:pt idx="952">
                  <c:v>254</c:v>
                </c:pt>
                <c:pt idx="953">
                  <c:v>589</c:v>
                </c:pt>
                <c:pt idx="954">
                  <c:v>558</c:v>
                </c:pt>
                <c:pt idx="955">
                  <c:v>564</c:v>
                </c:pt>
                <c:pt idx="956">
                  <c:v>546</c:v>
                </c:pt>
                <c:pt idx="957">
                  <c:v>441</c:v>
                </c:pt>
                <c:pt idx="958">
                  <c:v>405</c:v>
                </c:pt>
                <c:pt idx="959">
                  <c:v>489</c:v>
                </c:pt>
                <c:pt idx="960">
                  <c:v>573</c:v>
                </c:pt>
                <c:pt idx="961">
                  <c:v>717</c:v>
                </c:pt>
                <c:pt idx="962">
                  <c:v>437</c:v>
                </c:pt>
                <c:pt idx="963">
                  <c:v>575</c:v>
                </c:pt>
                <c:pt idx="964">
                  <c:v>445</c:v>
                </c:pt>
                <c:pt idx="965">
                  <c:v>420</c:v>
                </c:pt>
                <c:pt idx="966">
                  <c:v>633</c:v>
                </c:pt>
                <c:pt idx="967">
                  <c:v>556</c:v>
                </c:pt>
                <c:pt idx="968">
                  <c:v>522</c:v>
                </c:pt>
                <c:pt idx="969">
                  <c:v>703</c:v>
                </c:pt>
                <c:pt idx="970">
                  <c:v>395</c:v>
                </c:pt>
                <c:pt idx="971">
                  <c:v>445</c:v>
                </c:pt>
                <c:pt idx="972">
                  <c:v>417</c:v>
                </c:pt>
                <c:pt idx="973">
                  <c:v>481</c:v>
                </c:pt>
                <c:pt idx="974">
                  <c:v>489</c:v>
                </c:pt>
                <c:pt idx="975">
                  <c:v>540</c:v>
                </c:pt>
                <c:pt idx="976">
                  <c:v>409</c:v>
                </c:pt>
                <c:pt idx="977">
                  <c:v>424</c:v>
                </c:pt>
                <c:pt idx="978">
                  <c:v>489</c:v>
                </c:pt>
                <c:pt idx="979">
                  <c:v>576</c:v>
                </c:pt>
                <c:pt idx="980">
                  <c:v>325</c:v>
                </c:pt>
                <c:pt idx="981">
                  <c:v>419</c:v>
                </c:pt>
                <c:pt idx="982">
                  <c:v>558</c:v>
                </c:pt>
                <c:pt idx="983">
                  <c:v>395</c:v>
                </c:pt>
                <c:pt idx="984">
                  <c:v>652</c:v>
                </c:pt>
                <c:pt idx="985">
                  <c:v>563</c:v>
                </c:pt>
                <c:pt idx="986">
                  <c:v>327</c:v>
                </c:pt>
                <c:pt idx="987">
                  <c:v>428</c:v>
                </c:pt>
                <c:pt idx="988">
                  <c:v>492</c:v>
                </c:pt>
                <c:pt idx="989">
                  <c:v>422</c:v>
                </c:pt>
                <c:pt idx="990">
                  <c:v>401</c:v>
                </c:pt>
                <c:pt idx="991">
                  <c:v>449</c:v>
                </c:pt>
                <c:pt idx="992">
                  <c:v>489</c:v>
                </c:pt>
                <c:pt idx="993">
                  <c:v>589</c:v>
                </c:pt>
                <c:pt idx="994">
                  <c:v>551</c:v>
                </c:pt>
                <c:pt idx="995">
                  <c:v>539</c:v>
                </c:pt>
                <c:pt idx="996">
                  <c:v>574</c:v>
                </c:pt>
                <c:pt idx="997">
                  <c:v>566</c:v>
                </c:pt>
                <c:pt idx="998">
                  <c:v>451</c:v>
                </c:pt>
                <c:pt idx="999">
                  <c:v>662</c:v>
                </c:pt>
              </c:numCache>
            </c:numRef>
          </c:yVal>
          <c:smooth val="0"/>
          <c:extLst>
            <c:ext xmlns:c16="http://schemas.microsoft.com/office/drawing/2014/chart" uri="{C3380CC4-5D6E-409C-BE32-E72D297353CC}">
              <c16:uniqueId val="{00000001-961E-45CD-BF03-91CC35E24F2B}"/>
            </c:ext>
          </c:extLst>
        </c:ser>
        <c:dLbls>
          <c:showLegendKey val="0"/>
          <c:showVal val="0"/>
          <c:showCatName val="0"/>
          <c:showSerName val="0"/>
          <c:showPercent val="0"/>
          <c:showBubbleSize val="0"/>
        </c:dLbls>
        <c:axId val="2037393472"/>
        <c:axId val="2036962656"/>
      </c:scatterChart>
      <c:valAx>
        <c:axId val="2037393472"/>
        <c:scaling>
          <c:orientation val="minMax"/>
        </c:scaling>
        <c:delete val="0"/>
        <c:axPos val="b"/>
        <c:majorGridlines>
          <c:spPr>
            <a:ln w="9525" cap="flat" cmpd="sng" algn="ctr">
              <a:solidFill>
                <a:schemeClr val="tx1">
                  <a:lumMod val="15000"/>
                  <a:lumOff val="85000"/>
                </a:schemeClr>
              </a:solidFill>
              <a:round/>
            </a:ln>
            <a:effectLst/>
          </c:spPr>
        </c:majorGridlines>
        <c:numFmt formatCode="0\ &quot;Years&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962656"/>
        <c:crosses val="autoZero"/>
        <c:crossBetween val="midCat"/>
      </c:valAx>
      <c:valAx>
        <c:axId val="203696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3934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[Used_Phone_Price_Prediction_Dataset_1000.xlsx]Analysis!PivotTable5</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101541737535464E-2"/>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59938862848100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321850085042616"/>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1630781515758233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93415736785067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0443115416042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93415736785067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7181552384525934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7753854343839294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1058479556445333E-2"/>
              <c:y val="0.12037037037037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Analysis!$K$13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45B-48BF-A984-4A864B7B5C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5B-48BF-A984-4A864B7B5C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145B-48BF-A984-4A864B7B5C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145B-48BF-A984-4A864B7B5CD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145B-48BF-A984-4A864B7B5CD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145B-48BF-A984-4A864B7B5CD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145B-48BF-A984-4A864B7B5CD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9-145B-48BF-A984-4A864B7B5CD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A-145B-48BF-A984-4A864B7B5CD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1-145B-48BF-A984-4A864B7B5CD3}"/>
              </c:ext>
            </c:extLst>
          </c:dPt>
          <c:dLbls>
            <c:dLbl>
              <c:idx val="0"/>
              <c:layout>
                <c:manualLayout>
                  <c:x val="1.1101541737535464E-2"/>
                  <c:y val="-0.125000000000000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5B-48BF-A984-4A864B7B5CD3}"/>
                </c:ext>
              </c:extLst>
            </c:dLbl>
            <c:dLbl>
              <c:idx val="1"/>
              <c:layout>
                <c:manualLayout>
                  <c:x val="0.13599388628481004"/>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5B-48BF-A984-4A864B7B5CD3}"/>
                </c:ext>
              </c:extLst>
            </c:dLbl>
            <c:dLbl>
              <c:idx val="2"/>
              <c:layout>
                <c:manualLayout>
                  <c:x val="0.13321850085042616"/>
                  <c:y val="4.629629629629544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5B-48BF-A984-4A864B7B5CD3}"/>
                </c:ext>
              </c:extLst>
            </c:dLbl>
            <c:dLbl>
              <c:idx val="3"/>
              <c:layout>
                <c:manualLayout>
                  <c:x val="6.1058479556445333E-2"/>
                  <c:y val="0.120370370370370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5B-48BF-A984-4A864B7B5CD3}"/>
                </c:ext>
              </c:extLst>
            </c:dLbl>
            <c:dLbl>
              <c:idx val="4"/>
              <c:layout>
                <c:manualLayout>
                  <c:x val="-2.7753854343839294E-3"/>
                  <c:y val="9.72222222222222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45B-48BF-A984-4A864B7B5CD3}"/>
                </c:ext>
              </c:extLst>
            </c:dLbl>
            <c:dLbl>
              <c:idx val="5"/>
              <c:layout>
                <c:manualLayout>
                  <c:x val="-4.7181552384525934E-2"/>
                  <c:y val="0.1203703703703703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45B-48BF-A984-4A864B7B5CD3}"/>
                </c:ext>
              </c:extLst>
            </c:dLbl>
            <c:dLbl>
              <c:idx val="6"/>
              <c:layout>
                <c:manualLayout>
                  <c:x val="-0.11934157367850678"/>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45B-48BF-A984-4A864B7B5CD3}"/>
                </c:ext>
              </c:extLst>
            </c:dLbl>
            <c:dLbl>
              <c:idx val="7"/>
              <c:layout>
                <c:manualLayout>
                  <c:x val="-0.13044311541604228"/>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45B-48BF-A984-4A864B7B5CD3}"/>
                </c:ext>
              </c:extLst>
            </c:dLbl>
            <c:dLbl>
              <c:idx val="8"/>
              <c:layout>
                <c:manualLayout>
                  <c:x val="-0.11934157367850678"/>
                  <c:y val="4.629629629629629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45B-48BF-A984-4A864B7B5CD3}"/>
                </c:ext>
              </c:extLst>
            </c:dLbl>
            <c:dLbl>
              <c:idx val="9"/>
              <c:layout>
                <c:manualLayout>
                  <c:x val="-4.1630781515758233E-2"/>
                  <c:y val="-0.1018518518518518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5B-48BF-A984-4A864B7B5C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Analysis!$J$14:$J$24</c:f>
              <c:strCache>
                <c:ptCount val="10"/>
                <c:pt idx="0">
                  <c:v>Apple</c:v>
                </c:pt>
                <c:pt idx="1">
                  <c:v>Google</c:v>
                </c:pt>
                <c:pt idx="2">
                  <c:v>Huawei</c:v>
                </c:pt>
                <c:pt idx="3">
                  <c:v>Motorola</c:v>
                </c:pt>
                <c:pt idx="4">
                  <c:v>OnePlus</c:v>
                </c:pt>
                <c:pt idx="5">
                  <c:v>OPPO</c:v>
                </c:pt>
                <c:pt idx="6">
                  <c:v>Realme</c:v>
                </c:pt>
                <c:pt idx="7">
                  <c:v>Samsung</c:v>
                </c:pt>
                <c:pt idx="8">
                  <c:v>vivo</c:v>
                </c:pt>
                <c:pt idx="9">
                  <c:v>Xiaomi</c:v>
                </c:pt>
              </c:strCache>
            </c:strRef>
          </c:cat>
          <c:val>
            <c:numRef>
              <c:f>Analysis!$K$14:$K$24</c:f>
              <c:numCache>
                <c:formatCode>General</c:formatCode>
                <c:ptCount val="10"/>
                <c:pt idx="0">
                  <c:v>97</c:v>
                </c:pt>
                <c:pt idx="1">
                  <c:v>124</c:v>
                </c:pt>
                <c:pt idx="2">
                  <c:v>120</c:v>
                </c:pt>
                <c:pt idx="3">
                  <c:v>101</c:v>
                </c:pt>
                <c:pt idx="4">
                  <c:v>97</c:v>
                </c:pt>
                <c:pt idx="5">
                  <c:v>99</c:v>
                </c:pt>
                <c:pt idx="6">
                  <c:v>89</c:v>
                </c:pt>
                <c:pt idx="7">
                  <c:v>86</c:v>
                </c:pt>
                <c:pt idx="8">
                  <c:v>106</c:v>
                </c:pt>
                <c:pt idx="9">
                  <c:v>81</c:v>
                </c:pt>
              </c:numCache>
            </c:numRef>
          </c:val>
          <c:extLst>
            <c:ext xmlns:c16="http://schemas.microsoft.com/office/drawing/2014/chart" uri="{C3380CC4-5D6E-409C-BE32-E72D297353CC}">
              <c16:uniqueId val="{00000000-145B-48BF-A984-4A864B7B5CD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[Used_Phone_Price_Prediction_Dataset_1000.xlsx]Analysis!PivotTable1</c:name>
    <c:fmtId val="10"/>
  </c:pivotSource>
  <c:chart>
    <c:autoTitleDeleted val="1"/>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Analysis!$A$4:$A$14</c:f>
              <c:strCache>
                <c:ptCount val="10"/>
                <c:pt idx="0">
                  <c:v>Xiaomi</c:v>
                </c:pt>
                <c:pt idx="1">
                  <c:v>vivo</c:v>
                </c:pt>
                <c:pt idx="2">
                  <c:v>Samsung</c:v>
                </c:pt>
                <c:pt idx="3">
                  <c:v>Realme</c:v>
                </c:pt>
                <c:pt idx="4">
                  <c:v>OPPO</c:v>
                </c:pt>
                <c:pt idx="5">
                  <c:v>OnePlus</c:v>
                </c:pt>
                <c:pt idx="6">
                  <c:v>Motorola</c:v>
                </c:pt>
                <c:pt idx="7">
                  <c:v>Huawei</c:v>
                </c:pt>
                <c:pt idx="8">
                  <c:v>Google</c:v>
                </c:pt>
                <c:pt idx="9">
                  <c:v>Apple</c:v>
                </c:pt>
              </c:strCache>
            </c:strRef>
          </c:cat>
          <c:val>
            <c:numRef>
              <c:f>Analysis!$B$4:$B$14</c:f>
              <c:numCache>
                <c:formatCode>_("$"* #,##0.00_);_("$"* \(#,##0.00\);_("$"* "-"??_);_(@_)</c:formatCode>
                <c:ptCount val="10"/>
                <c:pt idx="0">
                  <c:v>313.02469135802471</c:v>
                </c:pt>
                <c:pt idx="1">
                  <c:v>447.78301886792451</c:v>
                </c:pt>
                <c:pt idx="2">
                  <c:v>562.58139534883719</c:v>
                </c:pt>
                <c:pt idx="3">
                  <c:v>497.40449438202245</c:v>
                </c:pt>
                <c:pt idx="4">
                  <c:v>418.07070707070704</c:v>
                </c:pt>
                <c:pt idx="5">
                  <c:v>626.11340206185571</c:v>
                </c:pt>
                <c:pt idx="6">
                  <c:v>490.29702970297029</c:v>
                </c:pt>
                <c:pt idx="7">
                  <c:v>562.51666666666665</c:v>
                </c:pt>
                <c:pt idx="8">
                  <c:v>491.47580645161293</c:v>
                </c:pt>
                <c:pt idx="9">
                  <c:v>625</c:v>
                </c:pt>
              </c:numCache>
            </c:numRef>
          </c:val>
          <c:extLst>
            <c:ext xmlns:c16="http://schemas.microsoft.com/office/drawing/2014/chart" uri="{C3380CC4-5D6E-409C-BE32-E72D297353CC}">
              <c16:uniqueId val="{00000000-5880-46C8-A3B8-DC8EB22D280B}"/>
            </c:ext>
          </c:extLst>
        </c:ser>
        <c:dLbls>
          <c:dLblPos val="outEnd"/>
          <c:showLegendKey val="0"/>
          <c:showVal val="1"/>
          <c:showCatName val="0"/>
          <c:showSerName val="0"/>
          <c:showPercent val="0"/>
          <c:showBubbleSize val="0"/>
        </c:dLbls>
        <c:gapWidth val="80"/>
        <c:axId val="2078054783"/>
        <c:axId val="459425119"/>
      </c:barChart>
      <c:catAx>
        <c:axId val="2078054783"/>
        <c:scaling>
          <c:orientation val="minMax"/>
        </c:scaling>
        <c:delete val="0"/>
        <c:axPos val="l"/>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59425119"/>
        <c:crosses val="autoZero"/>
        <c:auto val="1"/>
        <c:lblAlgn val="ctr"/>
        <c:lblOffset val="100"/>
        <c:noMultiLvlLbl val="0"/>
      </c:catAx>
      <c:valAx>
        <c:axId val="459425119"/>
        <c:scaling>
          <c:orientation val="minMax"/>
        </c:scaling>
        <c:delete val="0"/>
        <c:axPos val="b"/>
        <c:majorGridlines>
          <c:spPr>
            <a:ln w="9525" cap="flat" cmpd="sng" algn="ctr">
              <a:solidFill>
                <a:schemeClr val="tx1">
                  <a:lumMod val="5000"/>
                  <a:lumOff val="9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07805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[Used_Phone_Price_Prediction_Dataset_1000.xlsx]Analysis!PivotTable2</c:name>
    <c:fmtId val="6"/>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Analysis!$A$18:$A$22</c:f>
              <c:strCache>
                <c:ptCount val="4"/>
                <c:pt idx="0">
                  <c:v>Excellent</c:v>
                </c:pt>
                <c:pt idx="1">
                  <c:v>Fair</c:v>
                </c:pt>
                <c:pt idx="2">
                  <c:v>Good</c:v>
                </c:pt>
                <c:pt idx="3">
                  <c:v>Like New</c:v>
                </c:pt>
              </c:strCache>
            </c:strRef>
          </c:cat>
          <c:val>
            <c:numRef>
              <c:f>Analysis!$B$18:$B$22</c:f>
              <c:numCache>
                <c:formatCode>_("$"* #,##0.00_);_("$"* \(#,##0.00\);_("$"* "-"??_);_(@_)</c:formatCode>
                <c:ptCount val="4"/>
                <c:pt idx="0">
                  <c:v>554.07022471910113</c:v>
                </c:pt>
                <c:pt idx="1">
                  <c:v>362.75238095238097</c:v>
                </c:pt>
                <c:pt idx="2">
                  <c:v>456.68678160919541</c:v>
                </c:pt>
                <c:pt idx="3">
                  <c:v>585.95811518324604</c:v>
                </c:pt>
              </c:numCache>
            </c:numRef>
          </c:val>
          <c:extLst>
            <c:ext xmlns:c16="http://schemas.microsoft.com/office/drawing/2014/chart" uri="{C3380CC4-5D6E-409C-BE32-E72D297353CC}">
              <c16:uniqueId val="{00000000-14D4-4E5A-81EF-4B6D601EF64D}"/>
            </c:ext>
          </c:extLst>
        </c:ser>
        <c:dLbls>
          <c:dLblPos val="inBase"/>
          <c:showLegendKey val="0"/>
          <c:showVal val="1"/>
          <c:showCatName val="0"/>
          <c:showSerName val="0"/>
          <c:showPercent val="0"/>
          <c:showBubbleSize val="0"/>
        </c:dLbls>
        <c:gapWidth val="355"/>
        <c:overlap val="-70"/>
        <c:axId val="2085317087"/>
        <c:axId val="459345663"/>
      </c:barChart>
      <c:catAx>
        <c:axId val="208531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45663"/>
        <c:crosses val="autoZero"/>
        <c:auto val="1"/>
        <c:lblAlgn val="ctr"/>
        <c:lblOffset val="100"/>
        <c:noMultiLvlLbl val="0"/>
      </c:catAx>
      <c:valAx>
        <c:axId val="459345663"/>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31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Relationship Between RAM and Selling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Raw_Data!$F$2:$F$1001</c:f>
              <c:numCache>
                <c:formatCode>General</c:formatCode>
                <c:ptCount val="1000"/>
                <c:pt idx="0">
                  <c:v>12</c:v>
                </c:pt>
                <c:pt idx="1">
                  <c:v>4</c:v>
                </c:pt>
                <c:pt idx="2">
                  <c:v>4</c:v>
                </c:pt>
                <c:pt idx="3">
                  <c:v>12</c:v>
                </c:pt>
                <c:pt idx="4">
                  <c:v>12</c:v>
                </c:pt>
                <c:pt idx="5">
                  <c:v>6</c:v>
                </c:pt>
                <c:pt idx="6">
                  <c:v>12</c:v>
                </c:pt>
                <c:pt idx="7">
                  <c:v>12</c:v>
                </c:pt>
                <c:pt idx="8">
                  <c:v>4</c:v>
                </c:pt>
                <c:pt idx="9">
                  <c:v>8</c:v>
                </c:pt>
                <c:pt idx="10">
                  <c:v>4</c:v>
                </c:pt>
                <c:pt idx="11">
                  <c:v>6</c:v>
                </c:pt>
                <c:pt idx="12">
                  <c:v>8</c:v>
                </c:pt>
                <c:pt idx="13">
                  <c:v>4</c:v>
                </c:pt>
                <c:pt idx="14">
                  <c:v>8</c:v>
                </c:pt>
                <c:pt idx="15">
                  <c:v>4</c:v>
                </c:pt>
                <c:pt idx="16">
                  <c:v>4</c:v>
                </c:pt>
                <c:pt idx="17">
                  <c:v>8</c:v>
                </c:pt>
                <c:pt idx="18">
                  <c:v>8</c:v>
                </c:pt>
                <c:pt idx="19">
                  <c:v>12</c:v>
                </c:pt>
                <c:pt idx="20">
                  <c:v>12</c:v>
                </c:pt>
                <c:pt idx="21">
                  <c:v>4</c:v>
                </c:pt>
                <c:pt idx="22">
                  <c:v>6</c:v>
                </c:pt>
                <c:pt idx="23">
                  <c:v>8</c:v>
                </c:pt>
                <c:pt idx="24">
                  <c:v>12</c:v>
                </c:pt>
                <c:pt idx="25">
                  <c:v>6</c:v>
                </c:pt>
                <c:pt idx="26">
                  <c:v>4</c:v>
                </c:pt>
                <c:pt idx="27">
                  <c:v>6</c:v>
                </c:pt>
                <c:pt idx="28">
                  <c:v>6</c:v>
                </c:pt>
                <c:pt idx="29">
                  <c:v>4</c:v>
                </c:pt>
                <c:pt idx="30">
                  <c:v>8</c:v>
                </c:pt>
                <c:pt idx="31">
                  <c:v>6</c:v>
                </c:pt>
                <c:pt idx="32">
                  <c:v>12</c:v>
                </c:pt>
                <c:pt idx="33">
                  <c:v>8</c:v>
                </c:pt>
                <c:pt idx="34">
                  <c:v>8</c:v>
                </c:pt>
                <c:pt idx="35">
                  <c:v>12</c:v>
                </c:pt>
                <c:pt idx="36">
                  <c:v>6</c:v>
                </c:pt>
                <c:pt idx="37">
                  <c:v>4</c:v>
                </c:pt>
                <c:pt idx="38">
                  <c:v>4</c:v>
                </c:pt>
                <c:pt idx="39">
                  <c:v>6</c:v>
                </c:pt>
                <c:pt idx="40">
                  <c:v>12</c:v>
                </c:pt>
                <c:pt idx="41">
                  <c:v>8</c:v>
                </c:pt>
                <c:pt idx="42">
                  <c:v>12</c:v>
                </c:pt>
                <c:pt idx="43">
                  <c:v>6</c:v>
                </c:pt>
                <c:pt idx="44">
                  <c:v>4</c:v>
                </c:pt>
                <c:pt idx="45">
                  <c:v>8</c:v>
                </c:pt>
                <c:pt idx="46">
                  <c:v>6</c:v>
                </c:pt>
                <c:pt idx="47">
                  <c:v>8</c:v>
                </c:pt>
                <c:pt idx="48">
                  <c:v>4</c:v>
                </c:pt>
                <c:pt idx="49">
                  <c:v>8</c:v>
                </c:pt>
                <c:pt idx="50">
                  <c:v>6</c:v>
                </c:pt>
                <c:pt idx="51">
                  <c:v>12</c:v>
                </c:pt>
                <c:pt idx="52">
                  <c:v>12</c:v>
                </c:pt>
                <c:pt idx="53">
                  <c:v>4</c:v>
                </c:pt>
                <c:pt idx="54">
                  <c:v>6</c:v>
                </c:pt>
                <c:pt idx="55">
                  <c:v>6</c:v>
                </c:pt>
                <c:pt idx="56">
                  <c:v>12</c:v>
                </c:pt>
                <c:pt idx="57">
                  <c:v>6</c:v>
                </c:pt>
                <c:pt idx="58">
                  <c:v>4</c:v>
                </c:pt>
                <c:pt idx="59">
                  <c:v>12</c:v>
                </c:pt>
                <c:pt idx="60">
                  <c:v>4</c:v>
                </c:pt>
                <c:pt idx="61">
                  <c:v>4</c:v>
                </c:pt>
                <c:pt idx="62">
                  <c:v>12</c:v>
                </c:pt>
                <c:pt idx="63">
                  <c:v>8</c:v>
                </c:pt>
                <c:pt idx="64">
                  <c:v>4</c:v>
                </c:pt>
                <c:pt idx="65">
                  <c:v>6</c:v>
                </c:pt>
                <c:pt idx="66">
                  <c:v>8</c:v>
                </c:pt>
                <c:pt idx="67">
                  <c:v>6</c:v>
                </c:pt>
                <c:pt idx="68">
                  <c:v>6</c:v>
                </c:pt>
                <c:pt idx="69">
                  <c:v>4</c:v>
                </c:pt>
                <c:pt idx="70">
                  <c:v>4</c:v>
                </c:pt>
                <c:pt idx="71">
                  <c:v>8</c:v>
                </c:pt>
                <c:pt idx="72">
                  <c:v>12</c:v>
                </c:pt>
                <c:pt idx="73">
                  <c:v>12</c:v>
                </c:pt>
                <c:pt idx="74">
                  <c:v>8</c:v>
                </c:pt>
                <c:pt idx="75">
                  <c:v>12</c:v>
                </c:pt>
                <c:pt idx="76">
                  <c:v>8</c:v>
                </c:pt>
                <c:pt idx="77">
                  <c:v>12</c:v>
                </c:pt>
                <c:pt idx="78">
                  <c:v>8</c:v>
                </c:pt>
                <c:pt idx="79">
                  <c:v>12</c:v>
                </c:pt>
                <c:pt idx="80">
                  <c:v>12</c:v>
                </c:pt>
                <c:pt idx="81">
                  <c:v>12</c:v>
                </c:pt>
                <c:pt idx="82">
                  <c:v>4</c:v>
                </c:pt>
                <c:pt idx="83">
                  <c:v>6</c:v>
                </c:pt>
                <c:pt idx="84">
                  <c:v>8</c:v>
                </c:pt>
                <c:pt idx="85">
                  <c:v>6</c:v>
                </c:pt>
                <c:pt idx="86">
                  <c:v>4</c:v>
                </c:pt>
                <c:pt idx="87">
                  <c:v>8</c:v>
                </c:pt>
                <c:pt idx="88">
                  <c:v>12</c:v>
                </c:pt>
                <c:pt idx="89">
                  <c:v>6</c:v>
                </c:pt>
                <c:pt idx="90">
                  <c:v>6</c:v>
                </c:pt>
                <c:pt idx="91">
                  <c:v>12</c:v>
                </c:pt>
                <c:pt idx="92">
                  <c:v>4</c:v>
                </c:pt>
                <c:pt idx="93">
                  <c:v>8</c:v>
                </c:pt>
                <c:pt idx="94">
                  <c:v>4</c:v>
                </c:pt>
                <c:pt idx="95">
                  <c:v>12</c:v>
                </c:pt>
                <c:pt idx="96">
                  <c:v>4</c:v>
                </c:pt>
                <c:pt idx="97">
                  <c:v>4</c:v>
                </c:pt>
                <c:pt idx="98">
                  <c:v>6</c:v>
                </c:pt>
                <c:pt idx="99">
                  <c:v>12</c:v>
                </c:pt>
                <c:pt idx="100">
                  <c:v>8</c:v>
                </c:pt>
                <c:pt idx="101">
                  <c:v>6</c:v>
                </c:pt>
                <c:pt idx="102">
                  <c:v>12</c:v>
                </c:pt>
                <c:pt idx="103">
                  <c:v>4</c:v>
                </c:pt>
                <c:pt idx="104">
                  <c:v>12</c:v>
                </c:pt>
                <c:pt idx="105">
                  <c:v>12</c:v>
                </c:pt>
                <c:pt idx="106">
                  <c:v>12</c:v>
                </c:pt>
                <c:pt idx="107">
                  <c:v>8</c:v>
                </c:pt>
                <c:pt idx="108">
                  <c:v>6</c:v>
                </c:pt>
                <c:pt idx="109">
                  <c:v>8</c:v>
                </c:pt>
                <c:pt idx="110">
                  <c:v>6</c:v>
                </c:pt>
                <c:pt idx="111">
                  <c:v>6</c:v>
                </c:pt>
                <c:pt idx="112">
                  <c:v>4</c:v>
                </c:pt>
                <c:pt idx="113">
                  <c:v>6</c:v>
                </c:pt>
                <c:pt idx="114">
                  <c:v>8</c:v>
                </c:pt>
                <c:pt idx="115">
                  <c:v>8</c:v>
                </c:pt>
                <c:pt idx="116">
                  <c:v>6</c:v>
                </c:pt>
                <c:pt idx="117">
                  <c:v>4</c:v>
                </c:pt>
                <c:pt idx="118">
                  <c:v>6</c:v>
                </c:pt>
                <c:pt idx="119">
                  <c:v>6</c:v>
                </c:pt>
                <c:pt idx="120">
                  <c:v>6</c:v>
                </c:pt>
                <c:pt idx="121">
                  <c:v>4</c:v>
                </c:pt>
                <c:pt idx="122">
                  <c:v>12</c:v>
                </c:pt>
                <c:pt idx="123">
                  <c:v>12</c:v>
                </c:pt>
                <c:pt idx="124">
                  <c:v>6</c:v>
                </c:pt>
                <c:pt idx="125">
                  <c:v>12</c:v>
                </c:pt>
                <c:pt idx="126">
                  <c:v>8</c:v>
                </c:pt>
                <c:pt idx="127">
                  <c:v>12</c:v>
                </c:pt>
                <c:pt idx="128">
                  <c:v>4</c:v>
                </c:pt>
                <c:pt idx="129">
                  <c:v>12</c:v>
                </c:pt>
                <c:pt idx="130">
                  <c:v>4</c:v>
                </c:pt>
                <c:pt idx="131">
                  <c:v>12</c:v>
                </c:pt>
                <c:pt idx="132">
                  <c:v>8</c:v>
                </c:pt>
                <c:pt idx="133">
                  <c:v>6</c:v>
                </c:pt>
                <c:pt idx="134">
                  <c:v>12</c:v>
                </c:pt>
                <c:pt idx="135">
                  <c:v>12</c:v>
                </c:pt>
                <c:pt idx="136">
                  <c:v>12</c:v>
                </c:pt>
                <c:pt idx="137">
                  <c:v>6</c:v>
                </c:pt>
                <c:pt idx="138">
                  <c:v>12</c:v>
                </c:pt>
                <c:pt idx="139">
                  <c:v>6</c:v>
                </c:pt>
                <c:pt idx="140">
                  <c:v>8</c:v>
                </c:pt>
                <c:pt idx="141">
                  <c:v>8</c:v>
                </c:pt>
                <c:pt idx="142">
                  <c:v>12</c:v>
                </c:pt>
                <c:pt idx="143">
                  <c:v>6</c:v>
                </c:pt>
                <c:pt idx="144">
                  <c:v>4</c:v>
                </c:pt>
                <c:pt idx="145">
                  <c:v>4</c:v>
                </c:pt>
                <c:pt idx="146">
                  <c:v>4</c:v>
                </c:pt>
                <c:pt idx="147">
                  <c:v>8</c:v>
                </c:pt>
                <c:pt idx="148">
                  <c:v>6</c:v>
                </c:pt>
                <c:pt idx="149">
                  <c:v>12</c:v>
                </c:pt>
                <c:pt idx="150">
                  <c:v>12</c:v>
                </c:pt>
                <c:pt idx="151">
                  <c:v>6</c:v>
                </c:pt>
                <c:pt idx="152">
                  <c:v>8</c:v>
                </c:pt>
                <c:pt idx="153">
                  <c:v>4</c:v>
                </c:pt>
                <c:pt idx="154">
                  <c:v>6</c:v>
                </c:pt>
                <c:pt idx="155">
                  <c:v>8</c:v>
                </c:pt>
                <c:pt idx="156">
                  <c:v>12</c:v>
                </c:pt>
                <c:pt idx="157">
                  <c:v>8</c:v>
                </c:pt>
                <c:pt idx="158">
                  <c:v>12</c:v>
                </c:pt>
                <c:pt idx="159">
                  <c:v>8</c:v>
                </c:pt>
                <c:pt idx="160">
                  <c:v>6</c:v>
                </c:pt>
                <c:pt idx="161">
                  <c:v>12</c:v>
                </c:pt>
                <c:pt idx="162">
                  <c:v>8</c:v>
                </c:pt>
                <c:pt idx="163">
                  <c:v>4</c:v>
                </c:pt>
                <c:pt idx="164">
                  <c:v>8</c:v>
                </c:pt>
                <c:pt idx="165">
                  <c:v>12</c:v>
                </c:pt>
                <c:pt idx="166">
                  <c:v>8</c:v>
                </c:pt>
                <c:pt idx="167">
                  <c:v>6</c:v>
                </c:pt>
                <c:pt idx="168">
                  <c:v>4</c:v>
                </c:pt>
                <c:pt idx="169">
                  <c:v>8</c:v>
                </c:pt>
                <c:pt idx="170">
                  <c:v>12</c:v>
                </c:pt>
                <c:pt idx="171">
                  <c:v>8</c:v>
                </c:pt>
                <c:pt idx="172">
                  <c:v>12</c:v>
                </c:pt>
                <c:pt idx="173">
                  <c:v>4</c:v>
                </c:pt>
                <c:pt idx="174">
                  <c:v>6</c:v>
                </c:pt>
                <c:pt idx="175">
                  <c:v>4</c:v>
                </c:pt>
                <c:pt idx="176">
                  <c:v>6</c:v>
                </c:pt>
                <c:pt idx="177">
                  <c:v>8</c:v>
                </c:pt>
                <c:pt idx="178">
                  <c:v>8</c:v>
                </c:pt>
                <c:pt idx="179">
                  <c:v>12</c:v>
                </c:pt>
                <c:pt idx="180">
                  <c:v>4</c:v>
                </c:pt>
                <c:pt idx="181">
                  <c:v>4</c:v>
                </c:pt>
                <c:pt idx="182">
                  <c:v>8</c:v>
                </c:pt>
                <c:pt idx="183">
                  <c:v>6</c:v>
                </c:pt>
                <c:pt idx="184">
                  <c:v>4</c:v>
                </c:pt>
                <c:pt idx="185">
                  <c:v>12</c:v>
                </c:pt>
                <c:pt idx="186">
                  <c:v>8</c:v>
                </c:pt>
                <c:pt idx="187">
                  <c:v>4</c:v>
                </c:pt>
                <c:pt idx="188">
                  <c:v>6</c:v>
                </c:pt>
                <c:pt idx="189">
                  <c:v>12</c:v>
                </c:pt>
                <c:pt idx="190">
                  <c:v>4</c:v>
                </c:pt>
                <c:pt idx="191">
                  <c:v>6</c:v>
                </c:pt>
                <c:pt idx="192">
                  <c:v>4</c:v>
                </c:pt>
                <c:pt idx="193">
                  <c:v>8</c:v>
                </c:pt>
                <c:pt idx="194">
                  <c:v>12</c:v>
                </c:pt>
                <c:pt idx="195">
                  <c:v>12</c:v>
                </c:pt>
                <c:pt idx="196">
                  <c:v>6</c:v>
                </c:pt>
                <c:pt idx="197">
                  <c:v>8</c:v>
                </c:pt>
                <c:pt idx="198">
                  <c:v>8</c:v>
                </c:pt>
                <c:pt idx="199">
                  <c:v>12</c:v>
                </c:pt>
                <c:pt idx="200">
                  <c:v>4</c:v>
                </c:pt>
                <c:pt idx="201">
                  <c:v>8</c:v>
                </c:pt>
                <c:pt idx="202">
                  <c:v>12</c:v>
                </c:pt>
                <c:pt idx="203">
                  <c:v>4</c:v>
                </c:pt>
                <c:pt idx="204">
                  <c:v>8</c:v>
                </c:pt>
                <c:pt idx="205">
                  <c:v>8</c:v>
                </c:pt>
                <c:pt idx="206">
                  <c:v>12</c:v>
                </c:pt>
                <c:pt idx="207">
                  <c:v>4</c:v>
                </c:pt>
                <c:pt idx="208">
                  <c:v>12</c:v>
                </c:pt>
                <c:pt idx="209">
                  <c:v>4</c:v>
                </c:pt>
                <c:pt idx="210">
                  <c:v>8</c:v>
                </c:pt>
                <c:pt idx="211">
                  <c:v>12</c:v>
                </c:pt>
                <c:pt idx="212">
                  <c:v>8</c:v>
                </c:pt>
                <c:pt idx="213">
                  <c:v>8</c:v>
                </c:pt>
                <c:pt idx="214">
                  <c:v>4</c:v>
                </c:pt>
                <c:pt idx="215">
                  <c:v>4</c:v>
                </c:pt>
                <c:pt idx="216">
                  <c:v>8</c:v>
                </c:pt>
                <c:pt idx="217">
                  <c:v>4</c:v>
                </c:pt>
                <c:pt idx="218">
                  <c:v>6</c:v>
                </c:pt>
                <c:pt idx="219">
                  <c:v>8</c:v>
                </c:pt>
                <c:pt idx="220">
                  <c:v>8</c:v>
                </c:pt>
                <c:pt idx="221">
                  <c:v>6</c:v>
                </c:pt>
                <c:pt idx="222">
                  <c:v>8</c:v>
                </c:pt>
                <c:pt idx="223">
                  <c:v>4</c:v>
                </c:pt>
                <c:pt idx="224">
                  <c:v>8</c:v>
                </c:pt>
                <c:pt idx="225">
                  <c:v>12</c:v>
                </c:pt>
                <c:pt idx="226">
                  <c:v>6</c:v>
                </c:pt>
                <c:pt idx="227">
                  <c:v>6</c:v>
                </c:pt>
                <c:pt idx="228">
                  <c:v>12</c:v>
                </c:pt>
                <c:pt idx="229">
                  <c:v>12</c:v>
                </c:pt>
                <c:pt idx="230">
                  <c:v>4</c:v>
                </c:pt>
                <c:pt idx="231">
                  <c:v>12</c:v>
                </c:pt>
                <c:pt idx="232">
                  <c:v>4</c:v>
                </c:pt>
                <c:pt idx="233">
                  <c:v>4</c:v>
                </c:pt>
                <c:pt idx="234">
                  <c:v>12</c:v>
                </c:pt>
                <c:pt idx="235">
                  <c:v>12</c:v>
                </c:pt>
                <c:pt idx="236">
                  <c:v>6</c:v>
                </c:pt>
                <c:pt idx="237">
                  <c:v>8</c:v>
                </c:pt>
                <c:pt idx="238">
                  <c:v>4</c:v>
                </c:pt>
                <c:pt idx="239">
                  <c:v>4</c:v>
                </c:pt>
                <c:pt idx="240">
                  <c:v>8</c:v>
                </c:pt>
                <c:pt idx="241">
                  <c:v>8</c:v>
                </c:pt>
                <c:pt idx="242">
                  <c:v>6</c:v>
                </c:pt>
                <c:pt idx="243">
                  <c:v>12</c:v>
                </c:pt>
                <c:pt idx="244">
                  <c:v>6</c:v>
                </c:pt>
                <c:pt idx="245">
                  <c:v>12</c:v>
                </c:pt>
                <c:pt idx="246">
                  <c:v>6</c:v>
                </c:pt>
                <c:pt idx="247">
                  <c:v>12</c:v>
                </c:pt>
                <c:pt idx="248">
                  <c:v>4</c:v>
                </c:pt>
                <c:pt idx="249">
                  <c:v>8</c:v>
                </c:pt>
                <c:pt idx="250">
                  <c:v>12</c:v>
                </c:pt>
                <c:pt idx="251">
                  <c:v>4</c:v>
                </c:pt>
                <c:pt idx="252">
                  <c:v>4</c:v>
                </c:pt>
                <c:pt idx="253">
                  <c:v>12</c:v>
                </c:pt>
                <c:pt idx="254">
                  <c:v>4</c:v>
                </c:pt>
                <c:pt idx="255">
                  <c:v>6</c:v>
                </c:pt>
                <c:pt idx="256">
                  <c:v>8</c:v>
                </c:pt>
                <c:pt idx="257">
                  <c:v>4</c:v>
                </c:pt>
                <c:pt idx="258">
                  <c:v>12</c:v>
                </c:pt>
                <c:pt idx="259">
                  <c:v>8</c:v>
                </c:pt>
                <c:pt idx="260">
                  <c:v>6</c:v>
                </c:pt>
                <c:pt idx="261">
                  <c:v>12</c:v>
                </c:pt>
                <c:pt idx="262">
                  <c:v>6</c:v>
                </c:pt>
                <c:pt idx="263">
                  <c:v>12</c:v>
                </c:pt>
                <c:pt idx="264">
                  <c:v>8</c:v>
                </c:pt>
                <c:pt idx="265">
                  <c:v>8</c:v>
                </c:pt>
                <c:pt idx="266">
                  <c:v>4</c:v>
                </c:pt>
                <c:pt idx="267">
                  <c:v>6</c:v>
                </c:pt>
                <c:pt idx="268">
                  <c:v>4</c:v>
                </c:pt>
                <c:pt idx="269">
                  <c:v>4</c:v>
                </c:pt>
                <c:pt idx="270">
                  <c:v>8</c:v>
                </c:pt>
                <c:pt idx="271">
                  <c:v>4</c:v>
                </c:pt>
                <c:pt idx="272">
                  <c:v>4</c:v>
                </c:pt>
                <c:pt idx="273">
                  <c:v>4</c:v>
                </c:pt>
                <c:pt idx="274">
                  <c:v>6</c:v>
                </c:pt>
                <c:pt idx="275">
                  <c:v>6</c:v>
                </c:pt>
                <c:pt idx="276">
                  <c:v>6</c:v>
                </c:pt>
                <c:pt idx="277">
                  <c:v>6</c:v>
                </c:pt>
                <c:pt idx="278">
                  <c:v>4</c:v>
                </c:pt>
                <c:pt idx="279">
                  <c:v>8</c:v>
                </c:pt>
                <c:pt idx="280">
                  <c:v>4</c:v>
                </c:pt>
                <c:pt idx="281">
                  <c:v>4</c:v>
                </c:pt>
                <c:pt idx="282">
                  <c:v>4</c:v>
                </c:pt>
                <c:pt idx="283">
                  <c:v>12</c:v>
                </c:pt>
                <c:pt idx="284">
                  <c:v>8</c:v>
                </c:pt>
                <c:pt idx="285">
                  <c:v>12</c:v>
                </c:pt>
                <c:pt idx="286">
                  <c:v>12</c:v>
                </c:pt>
                <c:pt idx="287">
                  <c:v>6</c:v>
                </c:pt>
                <c:pt idx="288">
                  <c:v>8</c:v>
                </c:pt>
                <c:pt idx="289">
                  <c:v>8</c:v>
                </c:pt>
                <c:pt idx="290">
                  <c:v>4</c:v>
                </c:pt>
                <c:pt idx="291">
                  <c:v>12</c:v>
                </c:pt>
                <c:pt idx="292">
                  <c:v>8</c:v>
                </c:pt>
                <c:pt idx="293">
                  <c:v>12</c:v>
                </c:pt>
                <c:pt idx="294">
                  <c:v>12</c:v>
                </c:pt>
                <c:pt idx="295">
                  <c:v>4</c:v>
                </c:pt>
                <c:pt idx="296">
                  <c:v>8</c:v>
                </c:pt>
                <c:pt idx="297">
                  <c:v>4</c:v>
                </c:pt>
                <c:pt idx="298">
                  <c:v>4</c:v>
                </c:pt>
                <c:pt idx="299">
                  <c:v>12</c:v>
                </c:pt>
                <c:pt idx="300">
                  <c:v>4</c:v>
                </c:pt>
                <c:pt idx="301">
                  <c:v>8</c:v>
                </c:pt>
                <c:pt idx="302">
                  <c:v>8</c:v>
                </c:pt>
                <c:pt idx="303">
                  <c:v>12</c:v>
                </c:pt>
                <c:pt idx="304">
                  <c:v>12</c:v>
                </c:pt>
                <c:pt idx="305">
                  <c:v>6</c:v>
                </c:pt>
                <c:pt idx="306">
                  <c:v>4</c:v>
                </c:pt>
                <c:pt idx="307">
                  <c:v>6</c:v>
                </c:pt>
                <c:pt idx="308">
                  <c:v>12</c:v>
                </c:pt>
                <c:pt idx="309">
                  <c:v>4</c:v>
                </c:pt>
                <c:pt idx="310">
                  <c:v>8</c:v>
                </c:pt>
                <c:pt idx="311">
                  <c:v>6</c:v>
                </c:pt>
                <c:pt idx="312">
                  <c:v>12</c:v>
                </c:pt>
                <c:pt idx="313">
                  <c:v>12</c:v>
                </c:pt>
                <c:pt idx="314">
                  <c:v>4</c:v>
                </c:pt>
                <c:pt idx="315">
                  <c:v>4</c:v>
                </c:pt>
                <c:pt idx="316">
                  <c:v>12</c:v>
                </c:pt>
                <c:pt idx="317">
                  <c:v>12</c:v>
                </c:pt>
                <c:pt idx="318">
                  <c:v>6</c:v>
                </c:pt>
                <c:pt idx="319">
                  <c:v>12</c:v>
                </c:pt>
                <c:pt idx="320">
                  <c:v>8</c:v>
                </c:pt>
                <c:pt idx="321">
                  <c:v>6</c:v>
                </c:pt>
                <c:pt idx="322">
                  <c:v>4</c:v>
                </c:pt>
                <c:pt idx="323">
                  <c:v>8</c:v>
                </c:pt>
                <c:pt idx="324">
                  <c:v>8</c:v>
                </c:pt>
                <c:pt idx="325">
                  <c:v>4</c:v>
                </c:pt>
                <c:pt idx="326">
                  <c:v>8</c:v>
                </c:pt>
                <c:pt idx="327">
                  <c:v>12</c:v>
                </c:pt>
                <c:pt idx="328">
                  <c:v>8</c:v>
                </c:pt>
                <c:pt idx="329">
                  <c:v>6</c:v>
                </c:pt>
                <c:pt idx="330">
                  <c:v>4</c:v>
                </c:pt>
                <c:pt idx="331">
                  <c:v>4</c:v>
                </c:pt>
                <c:pt idx="332">
                  <c:v>12</c:v>
                </c:pt>
                <c:pt idx="333">
                  <c:v>6</c:v>
                </c:pt>
                <c:pt idx="334">
                  <c:v>12</c:v>
                </c:pt>
                <c:pt idx="335">
                  <c:v>6</c:v>
                </c:pt>
                <c:pt idx="336">
                  <c:v>4</c:v>
                </c:pt>
                <c:pt idx="337">
                  <c:v>4</c:v>
                </c:pt>
                <c:pt idx="338">
                  <c:v>8</c:v>
                </c:pt>
                <c:pt idx="339">
                  <c:v>12</c:v>
                </c:pt>
                <c:pt idx="340">
                  <c:v>8</c:v>
                </c:pt>
                <c:pt idx="341">
                  <c:v>8</c:v>
                </c:pt>
                <c:pt idx="342">
                  <c:v>6</c:v>
                </c:pt>
                <c:pt idx="343">
                  <c:v>8</c:v>
                </c:pt>
                <c:pt idx="344">
                  <c:v>6</c:v>
                </c:pt>
                <c:pt idx="345">
                  <c:v>8</c:v>
                </c:pt>
                <c:pt idx="346">
                  <c:v>6</c:v>
                </c:pt>
                <c:pt idx="347">
                  <c:v>12</c:v>
                </c:pt>
                <c:pt idx="348">
                  <c:v>4</c:v>
                </c:pt>
                <c:pt idx="349">
                  <c:v>4</c:v>
                </c:pt>
                <c:pt idx="350">
                  <c:v>4</c:v>
                </c:pt>
                <c:pt idx="351">
                  <c:v>12</c:v>
                </c:pt>
                <c:pt idx="352">
                  <c:v>8</c:v>
                </c:pt>
                <c:pt idx="353">
                  <c:v>12</c:v>
                </c:pt>
                <c:pt idx="354">
                  <c:v>4</c:v>
                </c:pt>
                <c:pt idx="355">
                  <c:v>8</c:v>
                </c:pt>
                <c:pt idx="356">
                  <c:v>6</c:v>
                </c:pt>
                <c:pt idx="357">
                  <c:v>4</c:v>
                </c:pt>
                <c:pt idx="358">
                  <c:v>6</c:v>
                </c:pt>
                <c:pt idx="359">
                  <c:v>6</c:v>
                </c:pt>
                <c:pt idx="360">
                  <c:v>12</c:v>
                </c:pt>
                <c:pt idx="361">
                  <c:v>12</c:v>
                </c:pt>
                <c:pt idx="362">
                  <c:v>8</c:v>
                </c:pt>
                <c:pt idx="363">
                  <c:v>6</c:v>
                </c:pt>
                <c:pt idx="364">
                  <c:v>4</c:v>
                </c:pt>
                <c:pt idx="365">
                  <c:v>4</c:v>
                </c:pt>
                <c:pt idx="366">
                  <c:v>12</c:v>
                </c:pt>
                <c:pt idx="367">
                  <c:v>8</c:v>
                </c:pt>
                <c:pt idx="368">
                  <c:v>8</c:v>
                </c:pt>
                <c:pt idx="369">
                  <c:v>12</c:v>
                </c:pt>
                <c:pt idx="370">
                  <c:v>8</c:v>
                </c:pt>
                <c:pt idx="371">
                  <c:v>12</c:v>
                </c:pt>
                <c:pt idx="372">
                  <c:v>4</c:v>
                </c:pt>
                <c:pt idx="373">
                  <c:v>4</c:v>
                </c:pt>
                <c:pt idx="374">
                  <c:v>8</c:v>
                </c:pt>
                <c:pt idx="375">
                  <c:v>8</c:v>
                </c:pt>
                <c:pt idx="376">
                  <c:v>12</c:v>
                </c:pt>
                <c:pt idx="377">
                  <c:v>4</c:v>
                </c:pt>
                <c:pt idx="378">
                  <c:v>8</c:v>
                </c:pt>
                <c:pt idx="379">
                  <c:v>12</c:v>
                </c:pt>
                <c:pt idx="380">
                  <c:v>12</c:v>
                </c:pt>
                <c:pt idx="381">
                  <c:v>12</c:v>
                </c:pt>
                <c:pt idx="382">
                  <c:v>6</c:v>
                </c:pt>
                <c:pt idx="383">
                  <c:v>8</c:v>
                </c:pt>
                <c:pt idx="384">
                  <c:v>6</c:v>
                </c:pt>
                <c:pt idx="385">
                  <c:v>12</c:v>
                </c:pt>
                <c:pt idx="386">
                  <c:v>8</c:v>
                </c:pt>
                <c:pt idx="387">
                  <c:v>6</c:v>
                </c:pt>
                <c:pt idx="388">
                  <c:v>6</c:v>
                </c:pt>
                <c:pt idx="389">
                  <c:v>4</c:v>
                </c:pt>
                <c:pt idx="390">
                  <c:v>6</c:v>
                </c:pt>
                <c:pt idx="391">
                  <c:v>8</c:v>
                </c:pt>
                <c:pt idx="392">
                  <c:v>4</c:v>
                </c:pt>
                <c:pt idx="393">
                  <c:v>4</c:v>
                </c:pt>
                <c:pt idx="394">
                  <c:v>6</c:v>
                </c:pt>
                <c:pt idx="395">
                  <c:v>12</c:v>
                </c:pt>
                <c:pt idx="396">
                  <c:v>8</c:v>
                </c:pt>
                <c:pt idx="397">
                  <c:v>6</c:v>
                </c:pt>
                <c:pt idx="398">
                  <c:v>4</c:v>
                </c:pt>
                <c:pt idx="399">
                  <c:v>12</c:v>
                </c:pt>
                <c:pt idx="400">
                  <c:v>8</c:v>
                </c:pt>
                <c:pt idx="401">
                  <c:v>6</c:v>
                </c:pt>
                <c:pt idx="402">
                  <c:v>12</c:v>
                </c:pt>
                <c:pt idx="403">
                  <c:v>8</c:v>
                </c:pt>
                <c:pt idx="404">
                  <c:v>6</c:v>
                </c:pt>
                <c:pt idx="405">
                  <c:v>4</c:v>
                </c:pt>
                <c:pt idx="406">
                  <c:v>12</c:v>
                </c:pt>
                <c:pt idx="407">
                  <c:v>4</c:v>
                </c:pt>
                <c:pt idx="408">
                  <c:v>6</c:v>
                </c:pt>
                <c:pt idx="409">
                  <c:v>12</c:v>
                </c:pt>
                <c:pt idx="410">
                  <c:v>12</c:v>
                </c:pt>
                <c:pt idx="411">
                  <c:v>6</c:v>
                </c:pt>
                <c:pt idx="412">
                  <c:v>6</c:v>
                </c:pt>
                <c:pt idx="413">
                  <c:v>12</c:v>
                </c:pt>
                <c:pt idx="414">
                  <c:v>8</c:v>
                </c:pt>
                <c:pt idx="415">
                  <c:v>8</c:v>
                </c:pt>
                <c:pt idx="416">
                  <c:v>6</c:v>
                </c:pt>
                <c:pt idx="417">
                  <c:v>4</c:v>
                </c:pt>
                <c:pt idx="418">
                  <c:v>12</c:v>
                </c:pt>
                <c:pt idx="419">
                  <c:v>6</c:v>
                </c:pt>
                <c:pt idx="420">
                  <c:v>12</c:v>
                </c:pt>
                <c:pt idx="421">
                  <c:v>8</c:v>
                </c:pt>
                <c:pt idx="422">
                  <c:v>12</c:v>
                </c:pt>
                <c:pt idx="423">
                  <c:v>4</c:v>
                </c:pt>
                <c:pt idx="424">
                  <c:v>12</c:v>
                </c:pt>
                <c:pt idx="425">
                  <c:v>12</c:v>
                </c:pt>
                <c:pt idx="426">
                  <c:v>12</c:v>
                </c:pt>
                <c:pt idx="427">
                  <c:v>6</c:v>
                </c:pt>
                <c:pt idx="428">
                  <c:v>12</c:v>
                </c:pt>
                <c:pt idx="429">
                  <c:v>6</c:v>
                </c:pt>
                <c:pt idx="430">
                  <c:v>4</c:v>
                </c:pt>
                <c:pt idx="431">
                  <c:v>6</c:v>
                </c:pt>
                <c:pt idx="432">
                  <c:v>6</c:v>
                </c:pt>
                <c:pt idx="433">
                  <c:v>6</c:v>
                </c:pt>
                <c:pt idx="434">
                  <c:v>8</c:v>
                </c:pt>
                <c:pt idx="435">
                  <c:v>6</c:v>
                </c:pt>
                <c:pt idx="436">
                  <c:v>12</c:v>
                </c:pt>
                <c:pt idx="437">
                  <c:v>6</c:v>
                </c:pt>
                <c:pt idx="438">
                  <c:v>6</c:v>
                </c:pt>
                <c:pt idx="439">
                  <c:v>8</c:v>
                </c:pt>
                <c:pt idx="440">
                  <c:v>6</c:v>
                </c:pt>
                <c:pt idx="441">
                  <c:v>8</c:v>
                </c:pt>
                <c:pt idx="442">
                  <c:v>8</c:v>
                </c:pt>
                <c:pt idx="443">
                  <c:v>4</c:v>
                </c:pt>
                <c:pt idx="444">
                  <c:v>12</c:v>
                </c:pt>
                <c:pt idx="445">
                  <c:v>8</c:v>
                </c:pt>
                <c:pt idx="446">
                  <c:v>6</c:v>
                </c:pt>
                <c:pt idx="447">
                  <c:v>8</c:v>
                </c:pt>
                <c:pt idx="448">
                  <c:v>12</c:v>
                </c:pt>
                <c:pt idx="449">
                  <c:v>6</c:v>
                </c:pt>
                <c:pt idx="450">
                  <c:v>8</c:v>
                </c:pt>
                <c:pt idx="451">
                  <c:v>4</c:v>
                </c:pt>
                <c:pt idx="452">
                  <c:v>12</c:v>
                </c:pt>
                <c:pt idx="453">
                  <c:v>8</c:v>
                </c:pt>
                <c:pt idx="454">
                  <c:v>6</c:v>
                </c:pt>
                <c:pt idx="455">
                  <c:v>12</c:v>
                </c:pt>
                <c:pt idx="456">
                  <c:v>8</c:v>
                </c:pt>
                <c:pt idx="457">
                  <c:v>8</c:v>
                </c:pt>
                <c:pt idx="458">
                  <c:v>4</c:v>
                </c:pt>
                <c:pt idx="459">
                  <c:v>8</c:v>
                </c:pt>
                <c:pt idx="460">
                  <c:v>4</c:v>
                </c:pt>
                <c:pt idx="461">
                  <c:v>6</c:v>
                </c:pt>
                <c:pt idx="462">
                  <c:v>12</c:v>
                </c:pt>
                <c:pt idx="463">
                  <c:v>12</c:v>
                </c:pt>
                <c:pt idx="464">
                  <c:v>6</c:v>
                </c:pt>
                <c:pt idx="465">
                  <c:v>6</c:v>
                </c:pt>
                <c:pt idx="466">
                  <c:v>4</c:v>
                </c:pt>
                <c:pt idx="467">
                  <c:v>4</c:v>
                </c:pt>
                <c:pt idx="468">
                  <c:v>12</c:v>
                </c:pt>
                <c:pt idx="469">
                  <c:v>8</c:v>
                </c:pt>
                <c:pt idx="470">
                  <c:v>6</c:v>
                </c:pt>
                <c:pt idx="471">
                  <c:v>8</c:v>
                </c:pt>
                <c:pt idx="472">
                  <c:v>4</c:v>
                </c:pt>
                <c:pt idx="473">
                  <c:v>12</c:v>
                </c:pt>
                <c:pt idx="474">
                  <c:v>8</c:v>
                </c:pt>
                <c:pt idx="475">
                  <c:v>6</c:v>
                </c:pt>
                <c:pt idx="476">
                  <c:v>6</c:v>
                </c:pt>
                <c:pt idx="477">
                  <c:v>6</c:v>
                </c:pt>
                <c:pt idx="478">
                  <c:v>6</c:v>
                </c:pt>
                <c:pt idx="479">
                  <c:v>6</c:v>
                </c:pt>
                <c:pt idx="480">
                  <c:v>4</c:v>
                </c:pt>
                <c:pt idx="481">
                  <c:v>12</c:v>
                </c:pt>
                <c:pt idx="482">
                  <c:v>12</c:v>
                </c:pt>
                <c:pt idx="483">
                  <c:v>4</c:v>
                </c:pt>
                <c:pt idx="484">
                  <c:v>12</c:v>
                </c:pt>
                <c:pt idx="485">
                  <c:v>12</c:v>
                </c:pt>
                <c:pt idx="486">
                  <c:v>6</c:v>
                </c:pt>
                <c:pt idx="487">
                  <c:v>12</c:v>
                </c:pt>
                <c:pt idx="488">
                  <c:v>6</c:v>
                </c:pt>
                <c:pt idx="489">
                  <c:v>4</c:v>
                </c:pt>
                <c:pt idx="490">
                  <c:v>12</c:v>
                </c:pt>
                <c:pt idx="491">
                  <c:v>12</c:v>
                </c:pt>
                <c:pt idx="492">
                  <c:v>8</c:v>
                </c:pt>
                <c:pt idx="493">
                  <c:v>4</c:v>
                </c:pt>
                <c:pt idx="494">
                  <c:v>4</c:v>
                </c:pt>
                <c:pt idx="495">
                  <c:v>6</c:v>
                </c:pt>
                <c:pt idx="496">
                  <c:v>4</c:v>
                </c:pt>
                <c:pt idx="497">
                  <c:v>12</c:v>
                </c:pt>
                <c:pt idx="498">
                  <c:v>6</c:v>
                </c:pt>
                <c:pt idx="499">
                  <c:v>6</c:v>
                </c:pt>
                <c:pt idx="500">
                  <c:v>4</c:v>
                </c:pt>
                <c:pt idx="501">
                  <c:v>12</c:v>
                </c:pt>
                <c:pt idx="502">
                  <c:v>12</c:v>
                </c:pt>
                <c:pt idx="503">
                  <c:v>6</c:v>
                </c:pt>
                <c:pt idx="504">
                  <c:v>6</c:v>
                </c:pt>
                <c:pt idx="505">
                  <c:v>8</c:v>
                </c:pt>
                <c:pt idx="506">
                  <c:v>6</c:v>
                </c:pt>
                <c:pt idx="507">
                  <c:v>12</c:v>
                </c:pt>
                <c:pt idx="508">
                  <c:v>6</c:v>
                </c:pt>
                <c:pt idx="509">
                  <c:v>6</c:v>
                </c:pt>
                <c:pt idx="510">
                  <c:v>6</c:v>
                </c:pt>
                <c:pt idx="511">
                  <c:v>8</c:v>
                </c:pt>
                <c:pt idx="512">
                  <c:v>4</c:v>
                </c:pt>
                <c:pt idx="513">
                  <c:v>6</c:v>
                </c:pt>
                <c:pt idx="514">
                  <c:v>12</c:v>
                </c:pt>
                <c:pt idx="515">
                  <c:v>8</c:v>
                </c:pt>
                <c:pt idx="516">
                  <c:v>8</c:v>
                </c:pt>
                <c:pt idx="517">
                  <c:v>4</c:v>
                </c:pt>
                <c:pt idx="518">
                  <c:v>4</c:v>
                </c:pt>
                <c:pt idx="519">
                  <c:v>12</c:v>
                </c:pt>
                <c:pt idx="520">
                  <c:v>12</c:v>
                </c:pt>
                <c:pt idx="521">
                  <c:v>6</c:v>
                </c:pt>
                <c:pt idx="522">
                  <c:v>6</c:v>
                </c:pt>
                <c:pt idx="523">
                  <c:v>4</c:v>
                </c:pt>
                <c:pt idx="524">
                  <c:v>6</c:v>
                </c:pt>
                <c:pt idx="525">
                  <c:v>4</c:v>
                </c:pt>
                <c:pt idx="526">
                  <c:v>6</c:v>
                </c:pt>
                <c:pt idx="527">
                  <c:v>6</c:v>
                </c:pt>
                <c:pt idx="528">
                  <c:v>4</c:v>
                </c:pt>
                <c:pt idx="529">
                  <c:v>6</c:v>
                </c:pt>
                <c:pt idx="530">
                  <c:v>8</c:v>
                </c:pt>
                <c:pt idx="531">
                  <c:v>6</c:v>
                </c:pt>
                <c:pt idx="532">
                  <c:v>4</c:v>
                </c:pt>
                <c:pt idx="533">
                  <c:v>12</c:v>
                </c:pt>
                <c:pt idx="534">
                  <c:v>12</c:v>
                </c:pt>
                <c:pt idx="535">
                  <c:v>8</c:v>
                </c:pt>
                <c:pt idx="536">
                  <c:v>6</c:v>
                </c:pt>
                <c:pt idx="537">
                  <c:v>12</c:v>
                </c:pt>
                <c:pt idx="538">
                  <c:v>8</c:v>
                </c:pt>
                <c:pt idx="539">
                  <c:v>8</c:v>
                </c:pt>
                <c:pt idx="540">
                  <c:v>12</c:v>
                </c:pt>
                <c:pt idx="541">
                  <c:v>12</c:v>
                </c:pt>
                <c:pt idx="542">
                  <c:v>8</c:v>
                </c:pt>
                <c:pt idx="543">
                  <c:v>4</c:v>
                </c:pt>
                <c:pt idx="544">
                  <c:v>12</c:v>
                </c:pt>
                <c:pt idx="545">
                  <c:v>6</c:v>
                </c:pt>
                <c:pt idx="546">
                  <c:v>4</c:v>
                </c:pt>
                <c:pt idx="547">
                  <c:v>6</c:v>
                </c:pt>
                <c:pt idx="548">
                  <c:v>12</c:v>
                </c:pt>
                <c:pt idx="549">
                  <c:v>8</c:v>
                </c:pt>
                <c:pt idx="550">
                  <c:v>6</c:v>
                </c:pt>
                <c:pt idx="551">
                  <c:v>6</c:v>
                </c:pt>
                <c:pt idx="552">
                  <c:v>4</c:v>
                </c:pt>
                <c:pt idx="553">
                  <c:v>12</c:v>
                </c:pt>
                <c:pt idx="554">
                  <c:v>4</c:v>
                </c:pt>
                <c:pt idx="555">
                  <c:v>4</c:v>
                </c:pt>
                <c:pt idx="556">
                  <c:v>12</c:v>
                </c:pt>
                <c:pt idx="557">
                  <c:v>12</c:v>
                </c:pt>
                <c:pt idx="558">
                  <c:v>12</c:v>
                </c:pt>
                <c:pt idx="559">
                  <c:v>12</c:v>
                </c:pt>
                <c:pt idx="560">
                  <c:v>4</c:v>
                </c:pt>
                <c:pt idx="561">
                  <c:v>8</c:v>
                </c:pt>
                <c:pt idx="562">
                  <c:v>4</c:v>
                </c:pt>
                <c:pt idx="563">
                  <c:v>12</c:v>
                </c:pt>
                <c:pt idx="564">
                  <c:v>12</c:v>
                </c:pt>
                <c:pt idx="565">
                  <c:v>6</c:v>
                </c:pt>
                <c:pt idx="566">
                  <c:v>4</c:v>
                </c:pt>
                <c:pt idx="567">
                  <c:v>8</c:v>
                </c:pt>
                <c:pt idx="568">
                  <c:v>12</c:v>
                </c:pt>
                <c:pt idx="569">
                  <c:v>12</c:v>
                </c:pt>
                <c:pt idx="570">
                  <c:v>6</c:v>
                </c:pt>
                <c:pt idx="571">
                  <c:v>4</c:v>
                </c:pt>
                <c:pt idx="572">
                  <c:v>6</c:v>
                </c:pt>
                <c:pt idx="573">
                  <c:v>8</c:v>
                </c:pt>
                <c:pt idx="574">
                  <c:v>12</c:v>
                </c:pt>
                <c:pt idx="575">
                  <c:v>4</c:v>
                </c:pt>
                <c:pt idx="576">
                  <c:v>6</c:v>
                </c:pt>
                <c:pt idx="577">
                  <c:v>12</c:v>
                </c:pt>
                <c:pt idx="578">
                  <c:v>6</c:v>
                </c:pt>
                <c:pt idx="579">
                  <c:v>6</c:v>
                </c:pt>
                <c:pt idx="580">
                  <c:v>4</c:v>
                </c:pt>
                <c:pt idx="581">
                  <c:v>8</c:v>
                </c:pt>
                <c:pt idx="582">
                  <c:v>6</c:v>
                </c:pt>
                <c:pt idx="583">
                  <c:v>6</c:v>
                </c:pt>
                <c:pt idx="584">
                  <c:v>4</c:v>
                </c:pt>
                <c:pt idx="585">
                  <c:v>12</c:v>
                </c:pt>
                <c:pt idx="586">
                  <c:v>12</c:v>
                </c:pt>
                <c:pt idx="587">
                  <c:v>6</c:v>
                </c:pt>
                <c:pt idx="588">
                  <c:v>12</c:v>
                </c:pt>
                <c:pt idx="589">
                  <c:v>8</c:v>
                </c:pt>
                <c:pt idx="590">
                  <c:v>4</c:v>
                </c:pt>
                <c:pt idx="591">
                  <c:v>6</c:v>
                </c:pt>
                <c:pt idx="592">
                  <c:v>12</c:v>
                </c:pt>
                <c:pt idx="593">
                  <c:v>6</c:v>
                </c:pt>
                <c:pt idx="594">
                  <c:v>12</c:v>
                </c:pt>
                <c:pt idx="595">
                  <c:v>4</c:v>
                </c:pt>
                <c:pt idx="596">
                  <c:v>4</c:v>
                </c:pt>
                <c:pt idx="597">
                  <c:v>4</c:v>
                </c:pt>
                <c:pt idx="598">
                  <c:v>12</c:v>
                </c:pt>
                <c:pt idx="599">
                  <c:v>6</c:v>
                </c:pt>
                <c:pt idx="600">
                  <c:v>6</c:v>
                </c:pt>
                <c:pt idx="601">
                  <c:v>8</c:v>
                </c:pt>
                <c:pt idx="602">
                  <c:v>4</c:v>
                </c:pt>
                <c:pt idx="603">
                  <c:v>4</c:v>
                </c:pt>
                <c:pt idx="604">
                  <c:v>6</c:v>
                </c:pt>
                <c:pt idx="605">
                  <c:v>4</c:v>
                </c:pt>
                <c:pt idx="606">
                  <c:v>6</c:v>
                </c:pt>
                <c:pt idx="607">
                  <c:v>8</c:v>
                </c:pt>
                <c:pt idx="608">
                  <c:v>6</c:v>
                </c:pt>
                <c:pt idx="609">
                  <c:v>6</c:v>
                </c:pt>
                <c:pt idx="610">
                  <c:v>6</c:v>
                </c:pt>
                <c:pt idx="611">
                  <c:v>4</c:v>
                </c:pt>
                <c:pt idx="612">
                  <c:v>6</c:v>
                </c:pt>
                <c:pt idx="613">
                  <c:v>12</c:v>
                </c:pt>
                <c:pt idx="614">
                  <c:v>4</c:v>
                </c:pt>
                <c:pt idx="615">
                  <c:v>8</c:v>
                </c:pt>
                <c:pt idx="616">
                  <c:v>6</c:v>
                </c:pt>
                <c:pt idx="617">
                  <c:v>6</c:v>
                </c:pt>
                <c:pt idx="618">
                  <c:v>4</c:v>
                </c:pt>
                <c:pt idx="619">
                  <c:v>4</c:v>
                </c:pt>
                <c:pt idx="620">
                  <c:v>6</c:v>
                </c:pt>
                <c:pt idx="621">
                  <c:v>4</c:v>
                </c:pt>
                <c:pt idx="622">
                  <c:v>4</c:v>
                </c:pt>
                <c:pt idx="623">
                  <c:v>4</c:v>
                </c:pt>
                <c:pt idx="624">
                  <c:v>4</c:v>
                </c:pt>
                <c:pt idx="625">
                  <c:v>4</c:v>
                </c:pt>
                <c:pt idx="626">
                  <c:v>4</c:v>
                </c:pt>
                <c:pt idx="627">
                  <c:v>8</c:v>
                </c:pt>
                <c:pt idx="628">
                  <c:v>8</c:v>
                </c:pt>
                <c:pt idx="629">
                  <c:v>12</c:v>
                </c:pt>
                <c:pt idx="630">
                  <c:v>8</c:v>
                </c:pt>
                <c:pt idx="631">
                  <c:v>6</c:v>
                </c:pt>
                <c:pt idx="632">
                  <c:v>4</c:v>
                </c:pt>
                <c:pt idx="633">
                  <c:v>4</c:v>
                </c:pt>
                <c:pt idx="634">
                  <c:v>4</c:v>
                </c:pt>
                <c:pt idx="635">
                  <c:v>8</c:v>
                </c:pt>
                <c:pt idx="636">
                  <c:v>6</c:v>
                </c:pt>
                <c:pt idx="637">
                  <c:v>4</c:v>
                </c:pt>
                <c:pt idx="638">
                  <c:v>4</c:v>
                </c:pt>
                <c:pt idx="639">
                  <c:v>12</c:v>
                </c:pt>
                <c:pt idx="640">
                  <c:v>12</c:v>
                </c:pt>
                <c:pt idx="641">
                  <c:v>12</c:v>
                </c:pt>
                <c:pt idx="642">
                  <c:v>8</c:v>
                </c:pt>
                <c:pt idx="643">
                  <c:v>8</c:v>
                </c:pt>
                <c:pt idx="644">
                  <c:v>8</c:v>
                </c:pt>
                <c:pt idx="645">
                  <c:v>4</c:v>
                </c:pt>
                <c:pt idx="646">
                  <c:v>12</c:v>
                </c:pt>
                <c:pt idx="647">
                  <c:v>8</c:v>
                </c:pt>
                <c:pt idx="648">
                  <c:v>8</c:v>
                </c:pt>
                <c:pt idx="649">
                  <c:v>6</c:v>
                </c:pt>
                <c:pt idx="650">
                  <c:v>6</c:v>
                </c:pt>
                <c:pt idx="651">
                  <c:v>6</c:v>
                </c:pt>
                <c:pt idx="652">
                  <c:v>6</c:v>
                </c:pt>
                <c:pt idx="653">
                  <c:v>8</c:v>
                </c:pt>
                <c:pt idx="654">
                  <c:v>12</c:v>
                </c:pt>
                <c:pt idx="655">
                  <c:v>12</c:v>
                </c:pt>
                <c:pt idx="656">
                  <c:v>4</c:v>
                </c:pt>
                <c:pt idx="657">
                  <c:v>6</c:v>
                </c:pt>
                <c:pt idx="658">
                  <c:v>4</c:v>
                </c:pt>
                <c:pt idx="659">
                  <c:v>12</c:v>
                </c:pt>
                <c:pt idx="660">
                  <c:v>6</c:v>
                </c:pt>
                <c:pt idx="661">
                  <c:v>4</c:v>
                </c:pt>
                <c:pt idx="662">
                  <c:v>8</c:v>
                </c:pt>
                <c:pt idx="663">
                  <c:v>6</c:v>
                </c:pt>
                <c:pt idx="664">
                  <c:v>4</c:v>
                </c:pt>
                <c:pt idx="665">
                  <c:v>12</c:v>
                </c:pt>
                <c:pt idx="666">
                  <c:v>12</c:v>
                </c:pt>
                <c:pt idx="667">
                  <c:v>4</c:v>
                </c:pt>
                <c:pt idx="668">
                  <c:v>8</c:v>
                </c:pt>
                <c:pt idx="669">
                  <c:v>6</c:v>
                </c:pt>
                <c:pt idx="670">
                  <c:v>12</c:v>
                </c:pt>
                <c:pt idx="671">
                  <c:v>8</c:v>
                </c:pt>
                <c:pt idx="672">
                  <c:v>12</c:v>
                </c:pt>
                <c:pt idx="673">
                  <c:v>6</c:v>
                </c:pt>
                <c:pt idx="674">
                  <c:v>4</c:v>
                </c:pt>
                <c:pt idx="675">
                  <c:v>4</c:v>
                </c:pt>
                <c:pt idx="676">
                  <c:v>8</c:v>
                </c:pt>
                <c:pt idx="677">
                  <c:v>6</c:v>
                </c:pt>
                <c:pt idx="678">
                  <c:v>8</c:v>
                </c:pt>
                <c:pt idx="679">
                  <c:v>4</c:v>
                </c:pt>
                <c:pt idx="680">
                  <c:v>8</c:v>
                </c:pt>
                <c:pt idx="681">
                  <c:v>6</c:v>
                </c:pt>
                <c:pt idx="682">
                  <c:v>12</c:v>
                </c:pt>
                <c:pt idx="683">
                  <c:v>6</c:v>
                </c:pt>
                <c:pt idx="684">
                  <c:v>6</c:v>
                </c:pt>
                <c:pt idx="685">
                  <c:v>12</c:v>
                </c:pt>
                <c:pt idx="686">
                  <c:v>6</c:v>
                </c:pt>
                <c:pt idx="687">
                  <c:v>4</c:v>
                </c:pt>
                <c:pt idx="688">
                  <c:v>8</c:v>
                </c:pt>
                <c:pt idx="689">
                  <c:v>12</c:v>
                </c:pt>
                <c:pt idx="690">
                  <c:v>12</c:v>
                </c:pt>
                <c:pt idx="691">
                  <c:v>4</c:v>
                </c:pt>
                <c:pt idx="692">
                  <c:v>8</c:v>
                </c:pt>
                <c:pt idx="693">
                  <c:v>6</c:v>
                </c:pt>
                <c:pt idx="694">
                  <c:v>6</c:v>
                </c:pt>
                <c:pt idx="695">
                  <c:v>4</c:v>
                </c:pt>
                <c:pt idx="696">
                  <c:v>8</c:v>
                </c:pt>
                <c:pt idx="697">
                  <c:v>4</c:v>
                </c:pt>
                <c:pt idx="698">
                  <c:v>6</c:v>
                </c:pt>
                <c:pt idx="699">
                  <c:v>4</c:v>
                </c:pt>
                <c:pt idx="700">
                  <c:v>6</c:v>
                </c:pt>
                <c:pt idx="701">
                  <c:v>4</c:v>
                </c:pt>
                <c:pt idx="702">
                  <c:v>4</c:v>
                </c:pt>
                <c:pt idx="703">
                  <c:v>4</c:v>
                </c:pt>
                <c:pt idx="704">
                  <c:v>8</c:v>
                </c:pt>
                <c:pt idx="705">
                  <c:v>6</c:v>
                </c:pt>
                <c:pt idx="706">
                  <c:v>4</c:v>
                </c:pt>
                <c:pt idx="707">
                  <c:v>6</c:v>
                </c:pt>
                <c:pt idx="708">
                  <c:v>4</c:v>
                </c:pt>
                <c:pt idx="709">
                  <c:v>6</c:v>
                </c:pt>
                <c:pt idx="710">
                  <c:v>12</c:v>
                </c:pt>
                <c:pt idx="711">
                  <c:v>4</c:v>
                </c:pt>
                <c:pt idx="712">
                  <c:v>6</c:v>
                </c:pt>
                <c:pt idx="713">
                  <c:v>4</c:v>
                </c:pt>
                <c:pt idx="714">
                  <c:v>6</c:v>
                </c:pt>
                <c:pt idx="715">
                  <c:v>12</c:v>
                </c:pt>
                <c:pt idx="716">
                  <c:v>6</c:v>
                </c:pt>
                <c:pt idx="717">
                  <c:v>8</c:v>
                </c:pt>
                <c:pt idx="718">
                  <c:v>6</c:v>
                </c:pt>
                <c:pt idx="719">
                  <c:v>12</c:v>
                </c:pt>
                <c:pt idx="720">
                  <c:v>4</c:v>
                </c:pt>
                <c:pt idx="721">
                  <c:v>8</c:v>
                </c:pt>
                <c:pt idx="722">
                  <c:v>8</c:v>
                </c:pt>
                <c:pt idx="723">
                  <c:v>6</c:v>
                </c:pt>
                <c:pt idx="724">
                  <c:v>4</c:v>
                </c:pt>
                <c:pt idx="725">
                  <c:v>6</c:v>
                </c:pt>
                <c:pt idx="726">
                  <c:v>8</c:v>
                </c:pt>
                <c:pt idx="727">
                  <c:v>6</c:v>
                </c:pt>
                <c:pt idx="728">
                  <c:v>6</c:v>
                </c:pt>
                <c:pt idx="729">
                  <c:v>6</c:v>
                </c:pt>
                <c:pt idx="730">
                  <c:v>8</c:v>
                </c:pt>
                <c:pt idx="731">
                  <c:v>8</c:v>
                </c:pt>
                <c:pt idx="732">
                  <c:v>6</c:v>
                </c:pt>
                <c:pt idx="733">
                  <c:v>4</c:v>
                </c:pt>
                <c:pt idx="734">
                  <c:v>4</c:v>
                </c:pt>
                <c:pt idx="735">
                  <c:v>6</c:v>
                </c:pt>
                <c:pt idx="736">
                  <c:v>4</c:v>
                </c:pt>
                <c:pt idx="737">
                  <c:v>6</c:v>
                </c:pt>
                <c:pt idx="738">
                  <c:v>8</c:v>
                </c:pt>
                <c:pt idx="739">
                  <c:v>12</c:v>
                </c:pt>
                <c:pt idx="740">
                  <c:v>4</c:v>
                </c:pt>
                <c:pt idx="741">
                  <c:v>6</c:v>
                </c:pt>
                <c:pt idx="742">
                  <c:v>6</c:v>
                </c:pt>
                <c:pt idx="743">
                  <c:v>4</c:v>
                </c:pt>
                <c:pt idx="744">
                  <c:v>4</c:v>
                </c:pt>
                <c:pt idx="745">
                  <c:v>6</c:v>
                </c:pt>
                <c:pt idx="746">
                  <c:v>6</c:v>
                </c:pt>
                <c:pt idx="747">
                  <c:v>12</c:v>
                </c:pt>
                <c:pt idx="748">
                  <c:v>6</c:v>
                </c:pt>
                <c:pt idx="749">
                  <c:v>12</c:v>
                </c:pt>
                <c:pt idx="750">
                  <c:v>8</c:v>
                </c:pt>
                <c:pt idx="751">
                  <c:v>12</c:v>
                </c:pt>
                <c:pt idx="752">
                  <c:v>8</c:v>
                </c:pt>
                <c:pt idx="753">
                  <c:v>12</c:v>
                </c:pt>
                <c:pt idx="754">
                  <c:v>6</c:v>
                </c:pt>
                <c:pt idx="755">
                  <c:v>4</c:v>
                </c:pt>
                <c:pt idx="756">
                  <c:v>8</c:v>
                </c:pt>
                <c:pt idx="757">
                  <c:v>6</c:v>
                </c:pt>
                <c:pt idx="758">
                  <c:v>6</c:v>
                </c:pt>
                <c:pt idx="759">
                  <c:v>4</c:v>
                </c:pt>
                <c:pt idx="760">
                  <c:v>4</c:v>
                </c:pt>
                <c:pt idx="761">
                  <c:v>12</c:v>
                </c:pt>
                <c:pt idx="762">
                  <c:v>6</c:v>
                </c:pt>
                <c:pt idx="763">
                  <c:v>4</c:v>
                </c:pt>
                <c:pt idx="764">
                  <c:v>6</c:v>
                </c:pt>
                <c:pt idx="765">
                  <c:v>6</c:v>
                </c:pt>
                <c:pt idx="766">
                  <c:v>4</c:v>
                </c:pt>
                <c:pt idx="767">
                  <c:v>8</c:v>
                </c:pt>
                <c:pt idx="768">
                  <c:v>12</c:v>
                </c:pt>
                <c:pt idx="769">
                  <c:v>4</c:v>
                </c:pt>
                <c:pt idx="770">
                  <c:v>12</c:v>
                </c:pt>
                <c:pt idx="771">
                  <c:v>4</c:v>
                </c:pt>
                <c:pt idx="772">
                  <c:v>6</c:v>
                </c:pt>
                <c:pt idx="773">
                  <c:v>12</c:v>
                </c:pt>
                <c:pt idx="774">
                  <c:v>4</c:v>
                </c:pt>
                <c:pt idx="775">
                  <c:v>8</c:v>
                </c:pt>
                <c:pt idx="776">
                  <c:v>8</c:v>
                </c:pt>
                <c:pt idx="777">
                  <c:v>4</c:v>
                </c:pt>
                <c:pt idx="778">
                  <c:v>6</c:v>
                </c:pt>
                <c:pt idx="779">
                  <c:v>6</c:v>
                </c:pt>
                <c:pt idx="780">
                  <c:v>8</c:v>
                </c:pt>
                <c:pt idx="781">
                  <c:v>6</c:v>
                </c:pt>
                <c:pt idx="782">
                  <c:v>4</c:v>
                </c:pt>
                <c:pt idx="783">
                  <c:v>8</c:v>
                </c:pt>
                <c:pt idx="784">
                  <c:v>8</c:v>
                </c:pt>
                <c:pt idx="785">
                  <c:v>8</c:v>
                </c:pt>
                <c:pt idx="786">
                  <c:v>4</c:v>
                </c:pt>
                <c:pt idx="787">
                  <c:v>12</c:v>
                </c:pt>
                <c:pt idx="788">
                  <c:v>4</c:v>
                </c:pt>
                <c:pt idx="789">
                  <c:v>12</c:v>
                </c:pt>
                <c:pt idx="790">
                  <c:v>6</c:v>
                </c:pt>
                <c:pt idx="791">
                  <c:v>4</c:v>
                </c:pt>
                <c:pt idx="792">
                  <c:v>4</c:v>
                </c:pt>
                <c:pt idx="793">
                  <c:v>4</c:v>
                </c:pt>
                <c:pt idx="794">
                  <c:v>12</c:v>
                </c:pt>
                <c:pt idx="795">
                  <c:v>8</c:v>
                </c:pt>
                <c:pt idx="796">
                  <c:v>12</c:v>
                </c:pt>
                <c:pt idx="797">
                  <c:v>6</c:v>
                </c:pt>
                <c:pt idx="798">
                  <c:v>12</c:v>
                </c:pt>
                <c:pt idx="799">
                  <c:v>8</c:v>
                </c:pt>
                <c:pt idx="800">
                  <c:v>12</c:v>
                </c:pt>
                <c:pt idx="801">
                  <c:v>6</c:v>
                </c:pt>
                <c:pt idx="802">
                  <c:v>12</c:v>
                </c:pt>
                <c:pt idx="803">
                  <c:v>12</c:v>
                </c:pt>
                <c:pt idx="804">
                  <c:v>8</c:v>
                </c:pt>
                <c:pt idx="805">
                  <c:v>8</c:v>
                </c:pt>
                <c:pt idx="806">
                  <c:v>6</c:v>
                </c:pt>
                <c:pt idx="807">
                  <c:v>8</c:v>
                </c:pt>
                <c:pt idx="808">
                  <c:v>8</c:v>
                </c:pt>
                <c:pt idx="809">
                  <c:v>8</c:v>
                </c:pt>
                <c:pt idx="810">
                  <c:v>8</c:v>
                </c:pt>
                <c:pt idx="811">
                  <c:v>4</c:v>
                </c:pt>
                <c:pt idx="812">
                  <c:v>4</c:v>
                </c:pt>
                <c:pt idx="813">
                  <c:v>12</c:v>
                </c:pt>
                <c:pt idx="814">
                  <c:v>4</c:v>
                </c:pt>
                <c:pt idx="815">
                  <c:v>4</c:v>
                </c:pt>
                <c:pt idx="816">
                  <c:v>8</c:v>
                </c:pt>
                <c:pt idx="817">
                  <c:v>6</c:v>
                </c:pt>
                <c:pt idx="818">
                  <c:v>12</c:v>
                </c:pt>
                <c:pt idx="819">
                  <c:v>6</c:v>
                </c:pt>
                <c:pt idx="820">
                  <c:v>12</c:v>
                </c:pt>
                <c:pt idx="821">
                  <c:v>6</c:v>
                </c:pt>
                <c:pt idx="822">
                  <c:v>12</c:v>
                </c:pt>
                <c:pt idx="823">
                  <c:v>12</c:v>
                </c:pt>
                <c:pt idx="824">
                  <c:v>12</c:v>
                </c:pt>
                <c:pt idx="825">
                  <c:v>12</c:v>
                </c:pt>
                <c:pt idx="826">
                  <c:v>6</c:v>
                </c:pt>
                <c:pt idx="827">
                  <c:v>12</c:v>
                </c:pt>
                <c:pt idx="828">
                  <c:v>6</c:v>
                </c:pt>
                <c:pt idx="829">
                  <c:v>4</c:v>
                </c:pt>
                <c:pt idx="830">
                  <c:v>8</c:v>
                </c:pt>
                <c:pt idx="831">
                  <c:v>6</c:v>
                </c:pt>
                <c:pt idx="832">
                  <c:v>6</c:v>
                </c:pt>
                <c:pt idx="833">
                  <c:v>4</c:v>
                </c:pt>
                <c:pt idx="834">
                  <c:v>8</c:v>
                </c:pt>
                <c:pt idx="835">
                  <c:v>4</c:v>
                </c:pt>
                <c:pt idx="836">
                  <c:v>6</c:v>
                </c:pt>
                <c:pt idx="837">
                  <c:v>8</c:v>
                </c:pt>
                <c:pt idx="838">
                  <c:v>12</c:v>
                </c:pt>
                <c:pt idx="839">
                  <c:v>12</c:v>
                </c:pt>
                <c:pt idx="840">
                  <c:v>12</c:v>
                </c:pt>
                <c:pt idx="841">
                  <c:v>6</c:v>
                </c:pt>
                <c:pt idx="842">
                  <c:v>8</c:v>
                </c:pt>
                <c:pt idx="843">
                  <c:v>6</c:v>
                </c:pt>
                <c:pt idx="844">
                  <c:v>4</c:v>
                </c:pt>
                <c:pt idx="845">
                  <c:v>4</c:v>
                </c:pt>
                <c:pt idx="846">
                  <c:v>8</c:v>
                </c:pt>
                <c:pt idx="847">
                  <c:v>8</c:v>
                </c:pt>
                <c:pt idx="848">
                  <c:v>4</c:v>
                </c:pt>
                <c:pt idx="849">
                  <c:v>8</c:v>
                </c:pt>
                <c:pt idx="850">
                  <c:v>4</c:v>
                </c:pt>
                <c:pt idx="851">
                  <c:v>12</c:v>
                </c:pt>
                <c:pt idx="852">
                  <c:v>8</c:v>
                </c:pt>
                <c:pt idx="853">
                  <c:v>4</c:v>
                </c:pt>
                <c:pt idx="854">
                  <c:v>12</c:v>
                </c:pt>
                <c:pt idx="855">
                  <c:v>12</c:v>
                </c:pt>
                <c:pt idx="856">
                  <c:v>6</c:v>
                </c:pt>
                <c:pt idx="857">
                  <c:v>8</c:v>
                </c:pt>
                <c:pt idx="858">
                  <c:v>4</c:v>
                </c:pt>
                <c:pt idx="859">
                  <c:v>12</c:v>
                </c:pt>
                <c:pt idx="860">
                  <c:v>4</c:v>
                </c:pt>
                <c:pt idx="861">
                  <c:v>8</c:v>
                </c:pt>
                <c:pt idx="862">
                  <c:v>12</c:v>
                </c:pt>
                <c:pt idx="863">
                  <c:v>8</c:v>
                </c:pt>
                <c:pt idx="864">
                  <c:v>4</c:v>
                </c:pt>
                <c:pt idx="865">
                  <c:v>8</c:v>
                </c:pt>
                <c:pt idx="866">
                  <c:v>8</c:v>
                </c:pt>
                <c:pt idx="867">
                  <c:v>6</c:v>
                </c:pt>
                <c:pt idx="868">
                  <c:v>6</c:v>
                </c:pt>
                <c:pt idx="869">
                  <c:v>4</c:v>
                </c:pt>
                <c:pt idx="870">
                  <c:v>12</c:v>
                </c:pt>
                <c:pt idx="871">
                  <c:v>6</c:v>
                </c:pt>
                <c:pt idx="872">
                  <c:v>8</c:v>
                </c:pt>
                <c:pt idx="873">
                  <c:v>6</c:v>
                </c:pt>
                <c:pt idx="874">
                  <c:v>8</c:v>
                </c:pt>
                <c:pt idx="875">
                  <c:v>12</c:v>
                </c:pt>
                <c:pt idx="876">
                  <c:v>8</c:v>
                </c:pt>
                <c:pt idx="877">
                  <c:v>12</c:v>
                </c:pt>
                <c:pt idx="878">
                  <c:v>4</c:v>
                </c:pt>
                <c:pt idx="879">
                  <c:v>8</c:v>
                </c:pt>
                <c:pt idx="880">
                  <c:v>4</c:v>
                </c:pt>
                <c:pt idx="881">
                  <c:v>6</c:v>
                </c:pt>
                <c:pt idx="882">
                  <c:v>6</c:v>
                </c:pt>
                <c:pt idx="883">
                  <c:v>6</c:v>
                </c:pt>
                <c:pt idx="884">
                  <c:v>6</c:v>
                </c:pt>
                <c:pt idx="885">
                  <c:v>8</c:v>
                </c:pt>
                <c:pt idx="886">
                  <c:v>6</c:v>
                </c:pt>
                <c:pt idx="887">
                  <c:v>4</c:v>
                </c:pt>
                <c:pt idx="888">
                  <c:v>4</c:v>
                </c:pt>
                <c:pt idx="889">
                  <c:v>12</c:v>
                </c:pt>
                <c:pt idx="890">
                  <c:v>12</c:v>
                </c:pt>
                <c:pt idx="891">
                  <c:v>4</c:v>
                </c:pt>
                <c:pt idx="892">
                  <c:v>12</c:v>
                </c:pt>
                <c:pt idx="893">
                  <c:v>6</c:v>
                </c:pt>
                <c:pt idx="894">
                  <c:v>6</c:v>
                </c:pt>
                <c:pt idx="895">
                  <c:v>4</c:v>
                </c:pt>
                <c:pt idx="896">
                  <c:v>8</c:v>
                </c:pt>
                <c:pt idx="897">
                  <c:v>6</c:v>
                </c:pt>
                <c:pt idx="898">
                  <c:v>12</c:v>
                </c:pt>
                <c:pt idx="899">
                  <c:v>8</c:v>
                </c:pt>
                <c:pt idx="900">
                  <c:v>4</c:v>
                </c:pt>
                <c:pt idx="901">
                  <c:v>6</c:v>
                </c:pt>
                <c:pt idx="902">
                  <c:v>4</c:v>
                </c:pt>
                <c:pt idx="903">
                  <c:v>4</c:v>
                </c:pt>
                <c:pt idx="904">
                  <c:v>4</c:v>
                </c:pt>
                <c:pt idx="905">
                  <c:v>8</c:v>
                </c:pt>
                <c:pt idx="906">
                  <c:v>8</c:v>
                </c:pt>
                <c:pt idx="907">
                  <c:v>8</c:v>
                </c:pt>
                <c:pt idx="908">
                  <c:v>4</c:v>
                </c:pt>
                <c:pt idx="909">
                  <c:v>12</c:v>
                </c:pt>
                <c:pt idx="910">
                  <c:v>8</c:v>
                </c:pt>
                <c:pt idx="911">
                  <c:v>12</c:v>
                </c:pt>
                <c:pt idx="912">
                  <c:v>12</c:v>
                </c:pt>
                <c:pt idx="913">
                  <c:v>6</c:v>
                </c:pt>
                <c:pt idx="914">
                  <c:v>4</c:v>
                </c:pt>
                <c:pt idx="915">
                  <c:v>4</c:v>
                </c:pt>
                <c:pt idx="916">
                  <c:v>12</c:v>
                </c:pt>
                <c:pt idx="917">
                  <c:v>12</c:v>
                </c:pt>
                <c:pt idx="918">
                  <c:v>6</c:v>
                </c:pt>
                <c:pt idx="919">
                  <c:v>4</c:v>
                </c:pt>
                <c:pt idx="920">
                  <c:v>12</c:v>
                </c:pt>
                <c:pt idx="921">
                  <c:v>4</c:v>
                </c:pt>
                <c:pt idx="922">
                  <c:v>8</c:v>
                </c:pt>
                <c:pt idx="923">
                  <c:v>12</c:v>
                </c:pt>
                <c:pt idx="924">
                  <c:v>4</c:v>
                </c:pt>
                <c:pt idx="925">
                  <c:v>6</c:v>
                </c:pt>
                <c:pt idx="926">
                  <c:v>8</c:v>
                </c:pt>
                <c:pt idx="927">
                  <c:v>12</c:v>
                </c:pt>
                <c:pt idx="928">
                  <c:v>4</c:v>
                </c:pt>
                <c:pt idx="929">
                  <c:v>8</c:v>
                </c:pt>
                <c:pt idx="930">
                  <c:v>12</c:v>
                </c:pt>
                <c:pt idx="931">
                  <c:v>8</c:v>
                </c:pt>
                <c:pt idx="932">
                  <c:v>4</c:v>
                </c:pt>
                <c:pt idx="933">
                  <c:v>4</c:v>
                </c:pt>
                <c:pt idx="934">
                  <c:v>12</c:v>
                </c:pt>
                <c:pt idx="935">
                  <c:v>4</c:v>
                </c:pt>
                <c:pt idx="936">
                  <c:v>12</c:v>
                </c:pt>
                <c:pt idx="937">
                  <c:v>12</c:v>
                </c:pt>
                <c:pt idx="938">
                  <c:v>6</c:v>
                </c:pt>
                <c:pt idx="939">
                  <c:v>4</c:v>
                </c:pt>
                <c:pt idx="940">
                  <c:v>6</c:v>
                </c:pt>
                <c:pt idx="941">
                  <c:v>4</c:v>
                </c:pt>
                <c:pt idx="942">
                  <c:v>8</c:v>
                </c:pt>
                <c:pt idx="943">
                  <c:v>6</c:v>
                </c:pt>
                <c:pt idx="944">
                  <c:v>8</c:v>
                </c:pt>
                <c:pt idx="945">
                  <c:v>12</c:v>
                </c:pt>
                <c:pt idx="946">
                  <c:v>4</c:v>
                </c:pt>
                <c:pt idx="947">
                  <c:v>6</c:v>
                </c:pt>
                <c:pt idx="948">
                  <c:v>6</c:v>
                </c:pt>
                <c:pt idx="949">
                  <c:v>8</c:v>
                </c:pt>
                <c:pt idx="950">
                  <c:v>8</c:v>
                </c:pt>
                <c:pt idx="951">
                  <c:v>12</c:v>
                </c:pt>
                <c:pt idx="952">
                  <c:v>4</c:v>
                </c:pt>
                <c:pt idx="953">
                  <c:v>12</c:v>
                </c:pt>
                <c:pt idx="954">
                  <c:v>8</c:v>
                </c:pt>
                <c:pt idx="955">
                  <c:v>8</c:v>
                </c:pt>
                <c:pt idx="956">
                  <c:v>6</c:v>
                </c:pt>
                <c:pt idx="957">
                  <c:v>12</c:v>
                </c:pt>
                <c:pt idx="958">
                  <c:v>6</c:v>
                </c:pt>
                <c:pt idx="959">
                  <c:v>4</c:v>
                </c:pt>
                <c:pt idx="960">
                  <c:v>6</c:v>
                </c:pt>
                <c:pt idx="961">
                  <c:v>6</c:v>
                </c:pt>
                <c:pt idx="962">
                  <c:v>8</c:v>
                </c:pt>
                <c:pt idx="963">
                  <c:v>12</c:v>
                </c:pt>
                <c:pt idx="964">
                  <c:v>4</c:v>
                </c:pt>
                <c:pt idx="965">
                  <c:v>6</c:v>
                </c:pt>
                <c:pt idx="966">
                  <c:v>6</c:v>
                </c:pt>
                <c:pt idx="967">
                  <c:v>6</c:v>
                </c:pt>
                <c:pt idx="968">
                  <c:v>4</c:v>
                </c:pt>
                <c:pt idx="969">
                  <c:v>12</c:v>
                </c:pt>
                <c:pt idx="970">
                  <c:v>4</c:v>
                </c:pt>
                <c:pt idx="971">
                  <c:v>4</c:v>
                </c:pt>
                <c:pt idx="972">
                  <c:v>4</c:v>
                </c:pt>
                <c:pt idx="973">
                  <c:v>8</c:v>
                </c:pt>
                <c:pt idx="974">
                  <c:v>12</c:v>
                </c:pt>
                <c:pt idx="975">
                  <c:v>6</c:v>
                </c:pt>
                <c:pt idx="976">
                  <c:v>4</c:v>
                </c:pt>
                <c:pt idx="977">
                  <c:v>8</c:v>
                </c:pt>
                <c:pt idx="978">
                  <c:v>4</c:v>
                </c:pt>
                <c:pt idx="979">
                  <c:v>8</c:v>
                </c:pt>
                <c:pt idx="980">
                  <c:v>12</c:v>
                </c:pt>
                <c:pt idx="981">
                  <c:v>6</c:v>
                </c:pt>
                <c:pt idx="982">
                  <c:v>8</c:v>
                </c:pt>
                <c:pt idx="983">
                  <c:v>12</c:v>
                </c:pt>
                <c:pt idx="984">
                  <c:v>6</c:v>
                </c:pt>
                <c:pt idx="985">
                  <c:v>8</c:v>
                </c:pt>
                <c:pt idx="986">
                  <c:v>4</c:v>
                </c:pt>
                <c:pt idx="987">
                  <c:v>6</c:v>
                </c:pt>
                <c:pt idx="988">
                  <c:v>6</c:v>
                </c:pt>
                <c:pt idx="989">
                  <c:v>4</c:v>
                </c:pt>
                <c:pt idx="990">
                  <c:v>6</c:v>
                </c:pt>
                <c:pt idx="991">
                  <c:v>6</c:v>
                </c:pt>
                <c:pt idx="992">
                  <c:v>12</c:v>
                </c:pt>
                <c:pt idx="993">
                  <c:v>4</c:v>
                </c:pt>
                <c:pt idx="994">
                  <c:v>4</c:v>
                </c:pt>
                <c:pt idx="995">
                  <c:v>8</c:v>
                </c:pt>
                <c:pt idx="996">
                  <c:v>12</c:v>
                </c:pt>
                <c:pt idx="997">
                  <c:v>12</c:v>
                </c:pt>
                <c:pt idx="998">
                  <c:v>8</c:v>
                </c:pt>
                <c:pt idx="999">
                  <c:v>6</c:v>
                </c:pt>
              </c:numCache>
            </c:numRef>
          </c:xVal>
          <c:yVal>
            <c:numRef>
              <c:f>Raw_Data!$R$2:$R$1001</c:f>
              <c:numCache>
                <c:formatCode>General</c:formatCode>
                <c:ptCount val="1000"/>
                <c:pt idx="0">
                  <c:v>428</c:v>
                </c:pt>
                <c:pt idx="1">
                  <c:v>589</c:v>
                </c:pt>
                <c:pt idx="2">
                  <c:v>408</c:v>
                </c:pt>
                <c:pt idx="3">
                  <c:v>449</c:v>
                </c:pt>
                <c:pt idx="4">
                  <c:v>745</c:v>
                </c:pt>
                <c:pt idx="5">
                  <c:v>428</c:v>
                </c:pt>
                <c:pt idx="6">
                  <c:v>603</c:v>
                </c:pt>
                <c:pt idx="7">
                  <c:v>604</c:v>
                </c:pt>
                <c:pt idx="8">
                  <c:v>267</c:v>
                </c:pt>
                <c:pt idx="9">
                  <c:v>557</c:v>
                </c:pt>
                <c:pt idx="10">
                  <c:v>539</c:v>
                </c:pt>
                <c:pt idx="11">
                  <c:v>466</c:v>
                </c:pt>
                <c:pt idx="12">
                  <c:v>368</c:v>
                </c:pt>
                <c:pt idx="13">
                  <c:v>567</c:v>
                </c:pt>
                <c:pt idx="14">
                  <c:v>644</c:v>
                </c:pt>
                <c:pt idx="15">
                  <c:v>470</c:v>
                </c:pt>
                <c:pt idx="16">
                  <c:v>257</c:v>
                </c:pt>
                <c:pt idx="17">
                  <c:v>539</c:v>
                </c:pt>
                <c:pt idx="18">
                  <c:v>489</c:v>
                </c:pt>
                <c:pt idx="19">
                  <c:v>439</c:v>
                </c:pt>
                <c:pt idx="20">
                  <c:v>764</c:v>
                </c:pt>
                <c:pt idx="21">
                  <c:v>415</c:v>
                </c:pt>
                <c:pt idx="22">
                  <c:v>789</c:v>
                </c:pt>
                <c:pt idx="23">
                  <c:v>639</c:v>
                </c:pt>
                <c:pt idx="24">
                  <c:v>789</c:v>
                </c:pt>
                <c:pt idx="25">
                  <c:v>289</c:v>
                </c:pt>
                <c:pt idx="26">
                  <c:v>289</c:v>
                </c:pt>
                <c:pt idx="27">
                  <c:v>487</c:v>
                </c:pt>
                <c:pt idx="28">
                  <c:v>427</c:v>
                </c:pt>
                <c:pt idx="29">
                  <c:v>560</c:v>
                </c:pt>
                <c:pt idx="30">
                  <c:v>663</c:v>
                </c:pt>
                <c:pt idx="31">
                  <c:v>749</c:v>
                </c:pt>
                <c:pt idx="32">
                  <c:v>493</c:v>
                </c:pt>
                <c:pt idx="33">
                  <c:v>338</c:v>
                </c:pt>
                <c:pt idx="34">
                  <c:v>440</c:v>
                </c:pt>
                <c:pt idx="35">
                  <c:v>824</c:v>
                </c:pt>
                <c:pt idx="36">
                  <c:v>468</c:v>
                </c:pt>
                <c:pt idx="37">
                  <c:v>352</c:v>
                </c:pt>
                <c:pt idx="38">
                  <c:v>561</c:v>
                </c:pt>
                <c:pt idx="39">
                  <c:v>466</c:v>
                </c:pt>
                <c:pt idx="40">
                  <c:v>323</c:v>
                </c:pt>
                <c:pt idx="41">
                  <c:v>822</c:v>
                </c:pt>
                <c:pt idx="42">
                  <c:v>451</c:v>
                </c:pt>
                <c:pt idx="43">
                  <c:v>382</c:v>
                </c:pt>
                <c:pt idx="44">
                  <c:v>282</c:v>
                </c:pt>
                <c:pt idx="45">
                  <c:v>629</c:v>
                </c:pt>
                <c:pt idx="46">
                  <c:v>454</c:v>
                </c:pt>
                <c:pt idx="47">
                  <c:v>389</c:v>
                </c:pt>
                <c:pt idx="48">
                  <c:v>539</c:v>
                </c:pt>
                <c:pt idx="49">
                  <c:v>433</c:v>
                </c:pt>
                <c:pt idx="50">
                  <c:v>447</c:v>
                </c:pt>
                <c:pt idx="51">
                  <c:v>433</c:v>
                </c:pt>
                <c:pt idx="52">
                  <c:v>252</c:v>
                </c:pt>
                <c:pt idx="53">
                  <c:v>576</c:v>
                </c:pt>
                <c:pt idx="54">
                  <c:v>521</c:v>
                </c:pt>
                <c:pt idx="55">
                  <c:v>492</c:v>
                </c:pt>
                <c:pt idx="56">
                  <c:v>750</c:v>
                </c:pt>
                <c:pt idx="57">
                  <c:v>289</c:v>
                </c:pt>
                <c:pt idx="58">
                  <c:v>389</c:v>
                </c:pt>
                <c:pt idx="59">
                  <c:v>497</c:v>
                </c:pt>
                <c:pt idx="60">
                  <c:v>529</c:v>
                </c:pt>
                <c:pt idx="61">
                  <c:v>909</c:v>
                </c:pt>
                <c:pt idx="62">
                  <c:v>462</c:v>
                </c:pt>
                <c:pt idx="63">
                  <c:v>305</c:v>
                </c:pt>
                <c:pt idx="64">
                  <c:v>575</c:v>
                </c:pt>
                <c:pt idx="65">
                  <c:v>262</c:v>
                </c:pt>
                <c:pt idx="66">
                  <c:v>431</c:v>
                </c:pt>
                <c:pt idx="67">
                  <c:v>560</c:v>
                </c:pt>
                <c:pt idx="68">
                  <c:v>620</c:v>
                </c:pt>
                <c:pt idx="69">
                  <c:v>533</c:v>
                </c:pt>
                <c:pt idx="70">
                  <c:v>547</c:v>
                </c:pt>
                <c:pt idx="71">
                  <c:v>476</c:v>
                </c:pt>
                <c:pt idx="72">
                  <c:v>640</c:v>
                </c:pt>
                <c:pt idx="73">
                  <c:v>559</c:v>
                </c:pt>
                <c:pt idx="74">
                  <c:v>591</c:v>
                </c:pt>
                <c:pt idx="75">
                  <c:v>452</c:v>
                </c:pt>
                <c:pt idx="76">
                  <c:v>336</c:v>
                </c:pt>
                <c:pt idx="77">
                  <c:v>490</c:v>
                </c:pt>
                <c:pt idx="78">
                  <c:v>377</c:v>
                </c:pt>
                <c:pt idx="79">
                  <c:v>885</c:v>
                </c:pt>
                <c:pt idx="80">
                  <c:v>425</c:v>
                </c:pt>
                <c:pt idx="81">
                  <c:v>789</c:v>
                </c:pt>
                <c:pt idx="82">
                  <c:v>457</c:v>
                </c:pt>
                <c:pt idx="83">
                  <c:v>513</c:v>
                </c:pt>
                <c:pt idx="84">
                  <c:v>427</c:v>
                </c:pt>
                <c:pt idx="85">
                  <c:v>495</c:v>
                </c:pt>
                <c:pt idx="86">
                  <c:v>724</c:v>
                </c:pt>
                <c:pt idx="87">
                  <c:v>451</c:v>
                </c:pt>
                <c:pt idx="88">
                  <c:v>439</c:v>
                </c:pt>
                <c:pt idx="89">
                  <c:v>316</c:v>
                </c:pt>
                <c:pt idx="90">
                  <c:v>467</c:v>
                </c:pt>
                <c:pt idx="91">
                  <c:v>582</c:v>
                </c:pt>
                <c:pt idx="92">
                  <c:v>272</c:v>
                </c:pt>
                <c:pt idx="93">
                  <c:v>513</c:v>
                </c:pt>
                <c:pt idx="94">
                  <c:v>488</c:v>
                </c:pt>
                <c:pt idx="95">
                  <c:v>689</c:v>
                </c:pt>
                <c:pt idx="96">
                  <c:v>371</c:v>
                </c:pt>
                <c:pt idx="97">
                  <c:v>366</c:v>
                </c:pt>
                <c:pt idx="98">
                  <c:v>448</c:v>
                </c:pt>
                <c:pt idx="99">
                  <c:v>451</c:v>
                </c:pt>
                <c:pt idx="100">
                  <c:v>449</c:v>
                </c:pt>
                <c:pt idx="101">
                  <c:v>589</c:v>
                </c:pt>
                <c:pt idx="102">
                  <c:v>689</c:v>
                </c:pt>
                <c:pt idx="103">
                  <c:v>485</c:v>
                </c:pt>
                <c:pt idx="104">
                  <c:v>339</c:v>
                </c:pt>
                <c:pt idx="105">
                  <c:v>457</c:v>
                </c:pt>
                <c:pt idx="106">
                  <c:v>430</c:v>
                </c:pt>
                <c:pt idx="107">
                  <c:v>490</c:v>
                </c:pt>
                <c:pt idx="108">
                  <c:v>660</c:v>
                </c:pt>
                <c:pt idx="109">
                  <c:v>388</c:v>
                </c:pt>
                <c:pt idx="110">
                  <c:v>577</c:v>
                </c:pt>
                <c:pt idx="111">
                  <c:v>345</c:v>
                </c:pt>
                <c:pt idx="112">
                  <c:v>289</c:v>
                </c:pt>
                <c:pt idx="113">
                  <c:v>557</c:v>
                </c:pt>
                <c:pt idx="114">
                  <c:v>500</c:v>
                </c:pt>
                <c:pt idx="115">
                  <c:v>437</c:v>
                </c:pt>
                <c:pt idx="116">
                  <c:v>395</c:v>
                </c:pt>
                <c:pt idx="117">
                  <c:v>484</c:v>
                </c:pt>
                <c:pt idx="118">
                  <c:v>443</c:v>
                </c:pt>
                <c:pt idx="119">
                  <c:v>732</c:v>
                </c:pt>
                <c:pt idx="120">
                  <c:v>443</c:v>
                </c:pt>
                <c:pt idx="121">
                  <c:v>460</c:v>
                </c:pt>
                <c:pt idx="122">
                  <c:v>456</c:v>
                </c:pt>
                <c:pt idx="123">
                  <c:v>689</c:v>
                </c:pt>
                <c:pt idx="124">
                  <c:v>337</c:v>
                </c:pt>
                <c:pt idx="125">
                  <c:v>371</c:v>
                </c:pt>
                <c:pt idx="126">
                  <c:v>312</c:v>
                </c:pt>
                <c:pt idx="127">
                  <c:v>424</c:v>
                </c:pt>
                <c:pt idx="128">
                  <c:v>757</c:v>
                </c:pt>
                <c:pt idx="129">
                  <c:v>463</c:v>
                </c:pt>
                <c:pt idx="130">
                  <c:v>412</c:v>
                </c:pt>
                <c:pt idx="131">
                  <c:v>486</c:v>
                </c:pt>
                <c:pt idx="132">
                  <c:v>568</c:v>
                </c:pt>
                <c:pt idx="133">
                  <c:v>338</c:v>
                </c:pt>
                <c:pt idx="134">
                  <c:v>296</c:v>
                </c:pt>
                <c:pt idx="135">
                  <c:v>568</c:v>
                </c:pt>
                <c:pt idx="136">
                  <c:v>379</c:v>
                </c:pt>
                <c:pt idx="137">
                  <c:v>464</c:v>
                </c:pt>
                <c:pt idx="138">
                  <c:v>389</c:v>
                </c:pt>
                <c:pt idx="139">
                  <c:v>606</c:v>
                </c:pt>
                <c:pt idx="140">
                  <c:v>538</c:v>
                </c:pt>
                <c:pt idx="141">
                  <c:v>408</c:v>
                </c:pt>
                <c:pt idx="142">
                  <c:v>589</c:v>
                </c:pt>
                <c:pt idx="143">
                  <c:v>489</c:v>
                </c:pt>
                <c:pt idx="144">
                  <c:v>656</c:v>
                </c:pt>
                <c:pt idx="145">
                  <c:v>362</c:v>
                </c:pt>
                <c:pt idx="146">
                  <c:v>313</c:v>
                </c:pt>
                <c:pt idx="147">
                  <c:v>352</c:v>
                </c:pt>
                <c:pt idx="148">
                  <c:v>664</c:v>
                </c:pt>
                <c:pt idx="149">
                  <c:v>515</c:v>
                </c:pt>
                <c:pt idx="150">
                  <c:v>730</c:v>
                </c:pt>
                <c:pt idx="151">
                  <c:v>389</c:v>
                </c:pt>
                <c:pt idx="152">
                  <c:v>446</c:v>
                </c:pt>
                <c:pt idx="153">
                  <c:v>310</c:v>
                </c:pt>
                <c:pt idx="154">
                  <c:v>655</c:v>
                </c:pt>
                <c:pt idx="155">
                  <c:v>693</c:v>
                </c:pt>
                <c:pt idx="156">
                  <c:v>336</c:v>
                </c:pt>
                <c:pt idx="157">
                  <c:v>389</c:v>
                </c:pt>
                <c:pt idx="158">
                  <c:v>617</c:v>
                </c:pt>
                <c:pt idx="159">
                  <c:v>492</c:v>
                </c:pt>
                <c:pt idx="160">
                  <c:v>457</c:v>
                </c:pt>
                <c:pt idx="161">
                  <c:v>506</c:v>
                </c:pt>
                <c:pt idx="162">
                  <c:v>549</c:v>
                </c:pt>
                <c:pt idx="163">
                  <c:v>759</c:v>
                </c:pt>
                <c:pt idx="164">
                  <c:v>530</c:v>
                </c:pt>
                <c:pt idx="165">
                  <c:v>342</c:v>
                </c:pt>
                <c:pt idx="166">
                  <c:v>400</c:v>
                </c:pt>
                <c:pt idx="167">
                  <c:v>251</c:v>
                </c:pt>
                <c:pt idx="168">
                  <c:v>513</c:v>
                </c:pt>
                <c:pt idx="169">
                  <c:v>330</c:v>
                </c:pt>
                <c:pt idx="170">
                  <c:v>951</c:v>
                </c:pt>
                <c:pt idx="171">
                  <c:v>506</c:v>
                </c:pt>
                <c:pt idx="172">
                  <c:v>507</c:v>
                </c:pt>
                <c:pt idx="173">
                  <c:v>728</c:v>
                </c:pt>
                <c:pt idx="174">
                  <c:v>450</c:v>
                </c:pt>
                <c:pt idx="175">
                  <c:v>542</c:v>
                </c:pt>
                <c:pt idx="176">
                  <c:v>483</c:v>
                </c:pt>
                <c:pt idx="177">
                  <c:v>561</c:v>
                </c:pt>
                <c:pt idx="178">
                  <c:v>388</c:v>
                </c:pt>
                <c:pt idx="179">
                  <c:v>453</c:v>
                </c:pt>
                <c:pt idx="180">
                  <c:v>525</c:v>
                </c:pt>
                <c:pt idx="181">
                  <c:v>903</c:v>
                </c:pt>
                <c:pt idx="182">
                  <c:v>589</c:v>
                </c:pt>
                <c:pt idx="183">
                  <c:v>567</c:v>
                </c:pt>
                <c:pt idx="184">
                  <c:v>830</c:v>
                </c:pt>
                <c:pt idx="185">
                  <c:v>364</c:v>
                </c:pt>
                <c:pt idx="186">
                  <c:v>481</c:v>
                </c:pt>
                <c:pt idx="187">
                  <c:v>475</c:v>
                </c:pt>
                <c:pt idx="188">
                  <c:v>448</c:v>
                </c:pt>
                <c:pt idx="189">
                  <c:v>565</c:v>
                </c:pt>
                <c:pt idx="190">
                  <c:v>889</c:v>
                </c:pt>
                <c:pt idx="191">
                  <c:v>260</c:v>
                </c:pt>
                <c:pt idx="192">
                  <c:v>543</c:v>
                </c:pt>
                <c:pt idx="193">
                  <c:v>635</c:v>
                </c:pt>
                <c:pt idx="194">
                  <c:v>398</c:v>
                </c:pt>
                <c:pt idx="195">
                  <c:v>589</c:v>
                </c:pt>
                <c:pt idx="196">
                  <c:v>474</c:v>
                </c:pt>
                <c:pt idx="197">
                  <c:v>589</c:v>
                </c:pt>
                <c:pt idx="198">
                  <c:v>502</c:v>
                </c:pt>
                <c:pt idx="199">
                  <c:v>346</c:v>
                </c:pt>
                <c:pt idx="200">
                  <c:v>752</c:v>
                </c:pt>
                <c:pt idx="201">
                  <c:v>349</c:v>
                </c:pt>
                <c:pt idx="202">
                  <c:v>401</c:v>
                </c:pt>
                <c:pt idx="203">
                  <c:v>628</c:v>
                </c:pt>
                <c:pt idx="204">
                  <c:v>379</c:v>
                </c:pt>
                <c:pt idx="205">
                  <c:v>346</c:v>
                </c:pt>
                <c:pt idx="206">
                  <c:v>437</c:v>
                </c:pt>
                <c:pt idx="207">
                  <c:v>323</c:v>
                </c:pt>
                <c:pt idx="208">
                  <c:v>539</c:v>
                </c:pt>
                <c:pt idx="209">
                  <c:v>489</c:v>
                </c:pt>
                <c:pt idx="210">
                  <c:v>416</c:v>
                </c:pt>
                <c:pt idx="211">
                  <c:v>482</c:v>
                </c:pt>
                <c:pt idx="212">
                  <c:v>447</c:v>
                </c:pt>
                <c:pt idx="213">
                  <c:v>522</c:v>
                </c:pt>
                <c:pt idx="214">
                  <c:v>304</c:v>
                </c:pt>
                <c:pt idx="215">
                  <c:v>539</c:v>
                </c:pt>
                <c:pt idx="216">
                  <c:v>430</c:v>
                </c:pt>
                <c:pt idx="217">
                  <c:v>573</c:v>
                </c:pt>
                <c:pt idx="218">
                  <c:v>565</c:v>
                </c:pt>
                <c:pt idx="219">
                  <c:v>475</c:v>
                </c:pt>
                <c:pt idx="220">
                  <c:v>670</c:v>
                </c:pt>
                <c:pt idx="221">
                  <c:v>289</c:v>
                </c:pt>
                <c:pt idx="222">
                  <c:v>477</c:v>
                </c:pt>
                <c:pt idx="223">
                  <c:v>775</c:v>
                </c:pt>
                <c:pt idx="224">
                  <c:v>290</c:v>
                </c:pt>
                <c:pt idx="225">
                  <c:v>304</c:v>
                </c:pt>
                <c:pt idx="226">
                  <c:v>461</c:v>
                </c:pt>
                <c:pt idx="227">
                  <c:v>589</c:v>
                </c:pt>
                <c:pt idx="228">
                  <c:v>465</c:v>
                </c:pt>
                <c:pt idx="229">
                  <c:v>727</c:v>
                </c:pt>
                <c:pt idx="230">
                  <c:v>540</c:v>
                </c:pt>
                <c:pt idx="231">
                  <c:v>413</c:v>
                </c:pt>
                <c:pt idx="232">
                  <c:v>383</c:v>
                </c:pt>
                <c:pt idx="233">
                  <c:v>289</c:v>
                </c:pt>
                <c:pt idx="234">
                  <c:v>654</c:v>
                </c:pt>
                <c:pt idx="235">
                  <c:v>583</c:v>
                </c:pt>
                <c:pt idx="236">
                  <c:v>485</c:v>
                </c:pt>
                <c:pt idx="237">
                  <c:v>429</c:v>
                </c:pt>
                <c:pt idx="238">
                  <c:v>698</c:v>
                </c:pt>
                <c:pt idx="239">
                  <c:v>401</c:v>
                </c:pt>
                <c:pt idx="240">
                  <c:v>448</c:v>
                </c:pt>
                <c:pt idx="241">
                  <c:v>489</c:v>
                </c:pt>
                <c:pt idx="242">
                  <c:v>440</c:v>
                </c:pt>
                <c:pt idx="243">
                  <c:v>504</c:v>
                </c:pt>
                <c:pt idx="244">
                  <c:v>539</c:v>
                </c:pt>
                <c:pt idx="245">
                  <c:v>589</c:v>
                </c:pt>
                <c:pt idx="246">
                  <c:v>586</c:v>
                </c:pt>
                <c:pt idx="247">
                  <c:v>489</c:v>
                </c:pt>
                <c:pt idx="248">
                  <c:v>559</c:v>
                </c:pt>
                <c:pt idx="249">
                  <c:v>526</c:v>
                </c:pt>
                <c:pt idx="250">
                  <c:v>438</c:v>
                </c:pt>
                <c:pt idx="251">
                  <c:v>486</c:v>
                </c:pt>
                <c:pt idx="252">
                  <c:v>657</c:v>
                </c:pt>
                <c:pt idx="253">
                  <c:v>589</c:v>
                </c:pt>
                <c:pt idx="254">
                  <c:v>568</c:v>
                </c:pt>
                <c:pt idx="255">
                  <c:v>520</c:v>
                </c:pt>
                <c:pt idx="256">
                  <c:v>309</c:v>
                </c:pt>
                <c:pt idx="257">
                  <c:v>439</c:v>
                </c:pt>
                <c:pt idx="258">
                  <c:v>490</c:v>
                </c:pt>
                <c:pt idx="259">
                  <c:v>536</c:v>
                </c:pt>
                <c:pt idx="260">
                  <c:v>388</c:v>
                </c:pt>
                <c:pt idx="261">
                  <c:v>512</c:v>
                </c:pt>
                <c:pt idx="262">
                  <c:v>417</c:v>
                </c:pt>
                <c:pt idx="263">
                  <c:v>581</c:v>
                </c:pt>
                <c:pt idx="264">
                  <c:v>457</c:v>
                </c:pt>
                <c:pt idx="265">
                  <c:v>589</c:v>
                </c:pt>
                <c:pt idx="266">
                  <c:v>414</c:v>
                </c:pt>
                <c:pt idx="267">
                  <c:v>497</c:v>
                </c:pt>
                <c:pt idx="268">
                  <c:v>394</c:v>
                </c:pt>
                <c:pt idx="269">
                  <c:v>654</c:v>
                </c:pt>
                <c:pt idx="270">
                  <c:v>726</c:v>
                </c:pt>
                <c:pt idx="271">
                  <c:v>316</c:v>
                </c:pt>
                <c:pt idx="272">
                  <c:v>649</c:v>
                </c:pt>
                <c:pt idx="273">
                  <c:v>397</c:v>
                </c:pt>
                <c:pt idx="274">
                  <c:v>255</c:v>
                </c:pt>
                <c:pt idx="275">
                  <c:v>696</c:v>
                </c:pt>
                <c:pt idx="276">
                  <c:v>512</c:v>
                </c:pt>
                <c:pt idx="277">
                  <c:v>238</c:v>
                </c:pt>
                <c:pt idx="278">
                  <c:v>430</c:v>
                </c:pt>
                <c:pt idx="279">
                  <c:v>361</c:v>
                </c:pt>
                <c:pt idx="280">
                  <c:v>527</c:v>
                </c:pt>
                <c:pt idx="281">
                  <c:v>302</c:v>
                </c:pt>
                <c:pt idx="282">
                  <c:v>697</c:v>
                </c:pt>
                <c:pt idx="283">
                  <c:v>443</c:v>
                </c:pt>
                <c:pt idx="284">
                  <c:v>513</c:v>
                </c:pt>
                <c:pt idx="285">
                  <c:v>687</c:v>
                </c:pt>
                <c:pt idx="286">
                  <c:v>829</c:v>
                </c:pt>
                <c:pt idx="287">
                  <c:v>547</c:v>
                </c:pt>
                <c:pt idx="288">
                  <c:v>457</c:v>
                </c:pt>
                <c:pt idx="289">
                  <c:v>467</c:v>
                </c:pt>
                <c:pt idx="290">
                  <c:v>433</c:v>
                </c:pt>
                <c:pt idx="291">
                  <c:v>589</c:v>
                </c:pt>
                <c:pt idx="292">
                  <c:v>552</c:v>
                </c:pt>
                <c:pt idx="293">
                  <c:v>514</c:v>
                </c:pt>
                <c:pt idx="294">
                  <c:v>586</c:v>
                </c:pt>
                <c:pt idx="295">
                  <c:v>405</c:v>
                </c:pt>
                <c:pt idx="296">
                  <c:v>361</c:v>
                </c:pt>
                <c:pt idx="297">
                  <c:v>485</c:v>
                </c:pt>
                <c:pt idx="298">
                  <c:v>576</c:v>
                </c:pt>
                <c:pt idx="299">
                  <c:v>257</c:v>
                </c:pt>
                <c:pt idx="300">
                  <c:v>524</c:v>
                </c:pt>
                <c:pt idx="301">
                  <c:v>589</c:v>
                </c:pt>
                <c:pt idx="302">
                  <c:v>590</c:v>
                </c:pt>
                <c:pt idx="303">
                  <c:v>453</c:v>
                </c:pt>
                <c:pt idx="304">
                  <c:v>545</c:v>
                </c:pt>
                <c:pt idx="305">
                  <c:v>398</c:v>
                </c:pt>
                <c:pt idx="306">
                  <c:v>617</c:v>
                </c:pt>
                <c:pt idx="307">
                  <c:v>663</c:v>
                </c:pt>
                <c:pt idx="308">
                  <c:v>348</c:v>
                </c:pt>
                <c:pt idx="309">
                  <c:v>297</c:v>
                </c:pt>
                <c:pt idx="310">
                  <c:v>404</c:v>
                </c:pt>
                <c:pt idx="311">
                  <c:v>409</c:v>
                </c:pt>
                <c:pt idx="312">
                  <c:v>720</c:v>
                </c:pt>
                <c:pt idx="313">
                  <c:v>868</c:v>
                </c:pt>
                <c:pt idx="314">
                  <c:v>357</c:v>
                </c:pt>
                <c:pt idx="315">
                  <c:v>460</c:v>
                </c:pt>
                <c:pt idx="316">
                  <c:v>916</c:v>
                </c:pt>
                <c:pt idx="317">
                  <c:v>665</c:v>
                </c:pt>
                <c:pt idx="318">
                  <c:v>476</c:v>
                </c:pt>
                <c:pt idx="319">
                  <c:v>439</c:v>
                </c:pt>
                <c:pt idx="320">
                  <c:v>531</c:v>
                </c:pt>
                <c:pt idx="321">
                  <c:v>267</c:v>
                </c:pt>
                <c:pt idx="322">
                  <c:v>412</c:v>
                </c:pt>
                <c:pt idx="323">
                  <c:v>263</c:v>
                </c:pt>
                <c:pt idx="324">
                  <c:v>788</c:v>
                </c:pt>
                <c:pt idx="325">
                  <c:v>568</c:v>
                </c:pt>
                <c:pt idx="326">
                  <c:v>589</c:v>
                </c:pt>
                <c:pt idx="327">
                  <c:v>389</c:v>
                </c:pt>
                <c:pt idx="328">
                  <c:v>362</c:v>
                </c:pt>
                <c:pt idx="329">
                  <c:v>327</c:v>
                </c:pt>
                <c:pt idx="330">
                  <c:v>514</c:v>
                </c:pt>
                <c:pt idx="331">
                  <c:v>455</c:v>
                </c:pt>
                <c:pt idx="332">
                  <c:v>391</c:v>
                </c:pt>
                <c:pt idx="333">
                  <c:v>292</c:v>
                </c:pt>
                <c:pt idx="334">
                  <c:v>701</c:v>
                </c:pt>
                <c:pt idx="335">
                  <c:v>751</c:v>
                </c:pt>
                <c:pt idx="336">
                  <c:v>479</c:v>
                </c:pt>
                <c:pt idx="337">
                  <c:v>537</c:v>
                </c:pt>
                <c:pt idx="338">
                  <c:v>558</c:v>
                </c:pt>
                <c:pt idx="339">
                  <c:v>385</c:v>
                </c:pt>
                <c:pt idx="340">
                  <c:v>518</c:v>
                </c:pt>
                <c:pt idx="341">
                  <c:v>412</c:v>
                </c:pt>
                <c:pt idx="342">
                  <c:v>624</c:v>
                </c:pt>
                <c:pt idx="343">
                  <c:v>789</c:v>
                </c:pt>
                <c:pt idx="344">
                  <c:v>477</c:v>
                </c:pt>
                <c:pt idx="345">
                  <c:v>789</c:v>
                </c:pt>
                <c:pt idx="346">
                  <c:v>513</c:v>
                </c:pt>
                <c:pt idx="347">
                  <c:v>348</c:v>
                </c:pt>
                <c:pt idx="348">
                  <c:v>563</c:v>
                </c:pt>
                <c:pt idx="349">
                  <c:v>501</c:v>
                </c:pt>
                <c:pt idx="350">
                  <c:v>689</c:v>
                </c:pt>
                <c:pt idx="351">
                  <c:v>589</c:v>
                </c:pt>
                <c:pt idx="352">
                  <c:v>642</c:v>
                </c:pt>
                <c:pt idx="353">
                  <c:v>456</c:v>
                </c:pt>
                <c:pt idx="354">
                  <c:v>527</c:v>
                </c:pt>
                <c:pt idx="355">
                  <c:v>660</c:v>
                </c:pt>
                <c:pt idx="356">
                  <c:v>574</c:v>
                </c:pt>
                <c:pt idx="357">
                  <c:v>546</c:v>
                </c:pt>
                <c:pt idx="358">
                  <c:v>747</c:v>
                </c:pt>
                <c:pt idx="359">
                  <c:v>449</c:v>
                </c:pt>
                <c:pt idx="360">
                  <c:v>525</c:v>
                </c:pt>
                <c:pt idx="361">
                  <c:v>565</c:v>
                </c:pt>
                <c:pt idx="362">
                  <c:v>410</c:v>
                </c:pt>
                <c:pt idx="363">
                  <c:v>491</c:v>
                </c:pt>
                <c:pt idx="364">
                  <c:v>403</c:v>
                </c:pt>
                <c:pt idx="365">
                  <c:v>645</c:v>
                </c:pt>
                <c:pt idx="366">
                  <c:v>549</c:v>
                </c:pt>
                <c:pt idx="367">
                  <c:v>262</c:v>
                </c:pt>
                <c:pt idx="368">
                  <c:v>448</c:v>
                </c:pt>
                <c:pt idx="369">
                  <c:v>383</c:v>
                </c:pt>
                <c:pt idx="370">
                  <c:v>689</c:v>
                </c:pt>
                <c:pt idx="371">
                  <c:v>619</c:v>
                </c:pt>
                <c:pt idx="372">
                  <c:v>640</c:v>
                </c:pt>
                <c:pt idx="373">
                  <c:v>481</c:v>
                </c:pt>
                <c:pt idx="374">
                  <c:v>641</c:v>
                </c:pt>
                <c:pt idx="375">
                  <c:v>589</c:v>
                </c:pt>
                <c:pt idx="376">
                  <c:v>789</c:v>
                </c:pt>
                <c:pt idx="377">
                  <c:v>550</c:v>
                </c:pt>
                <c:pt idx="378">
                  <c:v>794</c:v>
                </c:pt>
                <c:pt idx="379">
                  <c:v>589</c:v>
                </c:pt>
                <c:pt idx="380">
                  <c:v>589</c:v>
                </c:pt>
                <c:pt idx="381">
                  <c:v>483</c:v>
                </c:pt>
                <c:pt idx="382">
                  <c:v>264</c:v>
                </c:pt>
                <c:pt idx="383">
                  <c:v>469</c:v>
                </c:pt>
                <c:pt idx="384">
                  <c:v>289</c:v>
                </c:pt>
                <c:pt idx="385">
                  <c:v>491</c:v>
                </c:pt>
                <c:pt idx="386">
                  <c:v>786</c:v>
                </c:pt>
                <c:pt idx="387">
                  <c:v>274</c:v>
                </c:pt>
                <c:pt idx="388">
                  <c:v>489</c:v>
                </c:pt>
                <c:pt idx="389">
                  <c:v>489</c:v>
                </c:pt>
                <c:pt idx="390">
                  <c:v>855</c:v>
                </c:pt>
                <c:pt idx="391">
                  <c:v>449</c:v>
                </c:pt>
                <c:pt idx="392">
                  <c:v>552</c:v>
                </c:pt>
                <c:pt idx="393">
                  <c:v>452</c:v>
                </c:pt>
                <c:pt idx="394">
                  <c:v>285</c:v>
                </c:pt>
                <c:pt idx="395">
                  <c:v>536</c:v>
                </c:pt>
                <c:pt idx="396">
                  <c:v>573</c:v>
                </c:pt>
                <c:pt idx="397">
                  <c:v>829</c:v>
                </c:pt>
                <c:pt idx="398">
                  <c:v>536</c:v>
                </c:pt>
                <c:pt idx="399">
                  <c:v>637</c:v>
                </c:pt>
                <c:pt idx="400">
                  <c:v>363</c:v>
                </c:pt>
                <c:pt idx="401">
                  <c:v>623</c:v>
                </c:pt>
                <c:pt idx="402">
                  <c:v>460</c:v>
                </c:pt>
                <c:pt idx="403">
                  <c:v>677</c:v>
                </c:pt>
                <c:pt idx="404">
                  <c:v>648</c:v>
                </c:pt>
                <c:pt idx="405">
                  <c:v>547</c:v>
                </c:pt>
                <c:pt idx="406">
                  <c:v>565</c:v>
                </c:pt>
                <c:pt idx="407">
                  <c:v>480</c:v>
                </c:pt>
                <c:pt idx="408">
                  <c:v>545</c:v>
                </c:pt>
                <c:pt idx="409">
                  <c:v>494</c:v>
                </c:pt>
                <c:pt idx="410">
                  <c:v>589</c:v>
                </c:pt>
                <c:pt idx="411">
                  <c:v>637</c:v>
                </c:pt>
                <c:pt idx="412">
                  <c:v>300</c:v>
                </c:pt>
                <c:pt idx="413">
                  <c:v>441</c:v>
                </c:pt>
                <c:pt idx="414">
                  <c:v>589</c:v>
                </c:pt>
                <c:pt idx="415">
                  <c:v>489</c:v>
                </c:pt>
                <c:pt idx="416">
                  <c:v>483</c:v>
                </c:pt>
                <c:pt idx="417">
                  <c:v>489</c:v>
                </c:pt>
                <c:pt idx="418">
                  <c:v>689</c:v>
                </c:pt>
                <c:pt idx="419">
                  <c:v>386</c:v>
                </c:pt>
                <c:pt idx="420">
                  <c:v>389</c:v>
                </c:pt>
                <c:pt idx="421">
                  <c:v>497</c:v>
                </c:pt>
                <c:pt idx="422">
                  <c:v>372</c:v>
                </c:pt>
                <c:pt idx="423">
                  <c:v>329</c:v>
                </c:pt>
                <c:pt idx="424">
                  <c:v>431</c:v>
                </c:pt>
                <c:pt idx="425">
                  <c:v>589</c:v>
                </c:pt>
                <c:pt idx="426">
                  <c:v>577</c:v>
                </c:pt>
                <c:pt idx="427">
                  <c:v>597</c:v>
                </c:pt>
                <c:pt idx="428">
                  <c:v>684</c:v>
                </c:pt>
                <c:pt idx="429">
                  <c:v>589</c:v>
                </c:pt>
                <c:pt idx="430">
                  <c:v>889</c:v>
                </c:pt>
                <c:pt idx="431">
                  <c:v>529</c:v>
                </c:pt>
                <c:pt idx="432">
                  <c:v>434</c:v>
                </c:pt>
                <c:pt idx="433">
                  <c:v>640</c:v>
                </c:pt>
                <c:pt idx="434">
                  <c:v>519</c:v>
                </c:pt>
                <c:pt idx="435">
                  <c:v>537</c:v>
                </c:pt>
                <c:pt idx="436">
                  <c:v>511</c:v>
                </c:pt>
                <c:pt idx="437">
                  <c:v>668</c:v>
                </c:pt>
                <c:pt idx="438">
                  <c:v>432</c:v>
                </c:pt>
                <c:pt idx="439">
                  <c:v>429</c:v>
                </c:pt>
                <c:pt idx="440">
                  <c:v>289</c:v>
                </c:pt>
                <c:pt idx="441">
                  <c:v>489</c:v>
                </c:pt>
                <c:pt idx="442">
                  <c:v>562</c:v>
                </c:pt>
                <c:pt idx="443">
                  <c:v>309</c:v>
                </c:pt>
                <c:pt idx="444">
                  <c:v>439</c:v>
                </c:pt>
                <c:pt idx="445">
                  <c:v>426</c:v>
                </c:pt>
                <c:pt idx="446">
                  <c:v>522</c:v>
                </c:pt>
                <c:pt idx="447">
                  <c:v>576</c:v>
                </c:pt>
                <c:pt idx="448">
                  <c:v>434</c:v>
                </c:pt>
                <c:pt idx="449">
                  <c:v>536</c:v>
                </c:pt>
                <c:pt idx="450">
                  <c:v>474</c:v>
                </c:pt>
                <c:pt idx="451">
                  <c:v>401</c:v>
                </c:pt>
                <c:pt idx="452">
                  <c:v>473</c:v>
                </c:pt>
                <c:pt idx="453">
                  <c:v>561</c:v>
                </c:pt>
                <c:pt idx="454">
                  <c:v>439</c:v>
                </c:pt>
                <c:pt idx="455">
                  <c:v>600</c:v>
                </c:pt>
                <c:pt idx="456">
                  <c:v>568</c:v>
                </c:pt>
                <c:pt idx="457">
                  <c:v>669</c:v>
                </c:pt>
                <c:pt idx="458">
                  <c:v>589</c:v>
                </c:pt>
                <c:pt idx="459">
                  <c:v>569</c:v>
                </c:pt>
                <c:pt idx="460">
                  <c:v>603</c:v>
                </c:pt>
                <c:pt idx="461">
                  <c:v>618</c:v>
                </c:pt>
                <c:pt idx="462">
                  <c:v>433</c:v>
                </c:pt>
                <c:pt idx="463">
                  <c:v>311</c:v>
                </c:pt>
                <c:pt idx="464">
                  <c:v>289</c:v>
                </c:pt>
                <c:pt idx="465">
                  <c:v>950</c:v>
                </c:pt>
                <c:pt idx="466">
                  <c:v>468</c:v>
                </c:pt>
                <c:pt idx="467">
                  <c:v>668</c:v>
                </c:pt>
                <c:pt idx="468">
                  <c:v>447</c:v>
                </c:pt>
                <c:pt idx="469">
                  <c:v>823</c:v>
                </c:pt>
                <c:pt idx="470">
                  <c:v>477</c:v>
                </c:pt>
                <c:pt idx="471">
                  <c:v>494</c:v>
                </c:pt>
                <c:pt idx="472">
                  <c:v>522</c:v>
                </c:pt>
                <c:pt idx="473">
                  <c:v>438</c:v>
                </c:pt>
                <c:pt idx="474">
                  <c:v>717</c:v>
                </c:pt>
                <c:pt idx="475">
                  <c:v>291</c:v>
                </c:pt>
                <c:pt idx="476">
                  <c:v>320</c:v>
                </c:pt>
                <c:pt idx="477">
                  <c:v>561</c:v>
                </c:pt>
                <c:pt idx="478">
                  <c:v>632</c:v>
                </c:pt>
                <c:pt idx="479">
                  <c:v>521</c:v>
                </c:pt>
                <c:pt idx="480">
                  <c:v>493</c:v>
                </c:pt>
                <c:pt idx="481">
                  <c:v>380</c:v>
                </c:pt>
                <c:pt idx="482">
                  <c:v>407</c:v>
                </c:pt>
                <c:pt idx="483">
                  <c:v>495</c:v>
                </c:pt>
                <c:pt idx="484">
                  <c:v>518</c:v>
                </c:pt>
                <c:pt idx="485">
                  <c:v>589</c:v>
                </c:pt>
                <c:pt idx="486">
                  <c:v>554</c:v>
                </c:pt>
                <c:pt idx="487">
                  <c:v>517</c:v>
                </c:pt>
                <c:pt idx="488">
                  <c:v>675</c:v>
                </c:pt>
                <c:pt idx="489">
                  <c:v>474</c:v>
                </c:pt>
                <c:pt idx="490">
                  <c:v>539</c:v>
                </c:pt>
                <c:pt idx="491">
                  <c:v>661</c:v>
                </c:pt>
                <c:pt idx="492">
                  <c:v>311</c:v>
                </c:pt>
                <c:pt idx="493">
                  <c:v>289</c:v>
                </c:pt>
                <c:pt idx="494">
                  <c:v>535</c:v>
                </c:pt>
                <c:pt idx="495">
                  <c:v>581</c:v>
                </c:pt>
                <c:pt idx="496">
                  <c:v>571</c:v>
                </c:pt>
                <c:pt idx="497">
                  <c:v>489</c:v>
                </c:pt>
                <c:pt idx="498">
                  <c:v>500</c:v>
                </c:pt>
                <c:pt idx="499">
                  <c:v>397</c:v>
                </c:pt>
                <c:pt idx="500">
                  <c:v>329</c:v>
                </c:pt>
                <c:pt idx="501">
                  <c:v>468</c:v>
                </c:pt>
                <c:pt idx="502">
                  <c:v>835</c:v>
                </c:pt>
                <c:pt idx="503">
                  <c:v>289</c:v>
                </c:pt>
                <c:pt idx="504">
                  <c:v>539</c:v>
                </c:pt>
                <c:pt idx="505">
                  <c:v>389</c:v>
                </c:pt>
                <c:pt idx="506">
                  <c:v>289</c:v>
                </c:pt>
                <c:pt idx="507">
                  <c:v>589</c:v>
                </c:pt>
                <c:pt idx="508">
                  <c:v>614</c:v>
                </c:pt>
                <c:pt idx="509">
                  <c:v>590</c:v>
                </c:pt>
                <c:pt idx="510">
                  <c:v>692</c:v>
                </c:pt>
                <c:pt idx="511">
                  <c:v>349</c:v>
                </c:pt>
                <c:pt idx="512">
                  <c:v>511</c:v>
                </c:pt>
                <c:pt idx="513">
                  <c:v>579</c:v>
                </c:pt>
                <c:pt idx="514">
                  <c:v>531</c:v>
                </c:pt>
                <c:pt idx="515">
                  <c:v>482</c:v>
                </c:pt>
                <c:pt idx="516">
                  <c:v>530</c:v>
                </c:pt>
                <c:pt idx="517">
                  <c:v>487</c:v>
                </c:pt>
                <c:pt idx="518">
                  <c:v>306</c:v>
                </c:pt>
                <c:pt idx="519">
                  <c:v>493</c:v>
                </c:pt>
                <c:pt idx="520">
                  <c:v>558</c:v>
                </c:pt>
                <c:pt idx="521">
                  <c:v>394</c:v>
                </c:pt>
                <c:pt idx="522">
                  <c:v>407</c:v>
                </c:pt>
                <c:pt idx="523">
                  <c:v>425</c:v>
                </c:pt>
                <c:pt idx="524">
                  <c:v>440</c:v>
                </c:pt>
                <c:pt idx="525">
                  <c:v>889</c:v>
                </c:pt>
                <c:pt idx="526">
                  <c:v>459</c:v>
                </c:pt>
                <c:pt idx="527">
                  <c:v>509</c:v>
                </c:pt>
                <c:pt idx="528">
                  <c:v>325</c:v>
                </c:pt>
                <c:pt idx="529">
                  <c:v>708</c:v>
                </c:pt>
                <c:pt idx="530">
                  <c:v>389</c:v>
                </c:pt>
                <c:pt idx="531">
                  <c:v>310</c:v>
                </c:pt>
                <c:pt idx="532">
                  <c:v>396</c:v>
                </c:pt>
                <c:pt idx="533">
                  <c:v>406</c:v>
                </c:pt>
                <c:pt idx="534">
                  <c:v>629</c:v>
                </c:pt>
                <c:pt idx="535">
                  <c:v>312</c:v>
                </c:pt>
                <c:pt idx="536">
                  <c:v>831</c:v>
                </c:pt>
                <c:pt idx="537">
                  <c:v>376</c:v>
                </c:pt>
                <c:pt idx="538">
                  <c:v>489</c:v>
                </c:pt>
                <c:pt idx="539">
                  <c:v>590</c:v>
                </c:pt>
                <c:pt idx="540">
                  <c:v>325</c:v>
                </c:pt>
                <c:pt idx="541">
                  <c:v>773</c:v>
                </c:pt>
                <c:pt idx="542">
                  <c:v>383</c:v>
                </c:pt>
                <c:pt idx="543">
                  <c:v>589</c:v>
                </c:pt>
                <c:pt idx="544">
                  <c:v>442</c:v>
                </c:pt>
                <c:pt idx="545">
                  <c:v>442</c:v>
                </c:pt>
                <c:pt idx="546">
                  <c:v>389</c:v>
                </c:pt>
                <c:pt idx="547">
                  <c:v>495</c:v>
                </c:pt>
                <c:pt idx="548">
                  <c:v>409</c:v>
                </c:pt>
                <c:pt idx="549">
                  <c:v>592</c:v>
                </c:pt>
                <c:pt idx="550">
                  <c:v>500</c:v>
                </c:pt>
                <c:pt idx="551">
                  <c:v>637</c:v>
                </c:pt>
                <c:pt idx="552">
                  <c:v>330</c:v>
                </c:pt>
                <c:pt idx="553">
                  <c:v>528</c:v>
                </c:pt>
                <c:pt idx="554">
                  <c:v>629</c:v>
                </c:pt>
                <c:pt idx="555">
                  <c:v>241</c:v>
                </c:pt>
                <c:pt idx="556">
                  <c:v>460</c:v>
                </c:pt>
                <c:pt idx="557">
                  <c:v>552</c:v>
                </c:pt>
                <c:pt idx="558">
                  <c:v>384</c:v>
                </c:pt>
                <c:pt idx="559">
                  <c:v>486</c:v>
                </c:pt>
                <c:pt idx="560">
                  <c:v>389</c:v>
                </c:pt>
                <c:pt idx="561">
                  <c:v>432</c:v>
                </c:pt>
                <c:pt idx="562">
                  <c:v>289</c:v>
                </c:pt>
                <c:pt idx="563">
                  <c:v>497</c:v>
                </c:pt>
                <c:pt idx="564">
                  <c:v>531</c:v>
                </c:pt>
                <c:pt idx="565">
                  <c:v>389</c:v>
                </c:pt>
                <c:pt idx="566">
                  <c:v>647</c:v>
                </c:pt>
                <c:pt idx="567">
                  <c:v>577</c:v>
                </c:pt>
                <c:pt idx="568">
                  <c:v>289</c:v>
                </c:pt>
                <c:pt idx="569">
                  <c:v>546</c:v>
                </c:pt>
                <c:pt idx="570">
                  <c:v>574</c:v>
                </c:pt>
                <c:pt idx="571">
                  <c:v>439</c:v>
                </c:pt>
                <c:pt idx="572">
                  <c:v>632</c:v>
                </c:pt>
                <c:pt idx="573">
                  <c:v>621</c:v>
                </c:pt>
                <c:pt idx="574">
                  <c:v>290</c:v>
                </c:pt>
                <c:pt idx="575">
                  <c:v>569</c:v>
                </c:pt>
                <c:pt idx="576">
                  <c:v>565</c:v>
                </c:pt>
                <c:pt idx="577">
                  <c:v>571</c:v>
                </c:pt>
                <c:pt idx="578">
                  <c:v>491</c:v>
                </c:pt>
                <c:pt idx="579">
                  <c:v>550</c:v>
                </c:pt>
                <c:pt idx="580">
                  <c:v>866</c:v>
                </c:pt>
                <c:pt idx="581">
                  <c:v>730</c:v>
                </c:pt>
                <c:pt idx="582">
                  <c:v>624</c:v>
                </c:pt>
                <c:pt idx="583">
                  <c:v>526</c:v>
                </c:pt>
                <c:pt idx="584">
                  <c:v>525</c:v>
                </c:pt>
                <c:pt idx="585">
                  <c:v>489</c:v>
                </c:pt>
                <c:pt idx="586">
                  <c:v>579</c:v>
                </c:pt>
                <c:pt idx="587">
                  <c:v>606</c:v>
                </c:pt>
                <c:pt idx="588">
                  <c:v>289</c:v>
                </c:pt>
                <c:pt idx="589">
                  <c:v>518</c:v>
                </c:pt>
                <c:pt idx="590">
                  <c:v>544</c:v>
                </c:pt>
                <c:pt idx="591">
                  <c:v>556</c:v>
                </c:pt>
                <c:pt idx="592">
                  <c:v>489</c:v>
                </c:pt>
                <c:pt idx="593">
                  <c:v>418</c:v>
                </c:pt>
                <c:pt idx="594">
                  <c:v>727</c:v>
                </c:pt>
                <c:pt idx="595">
                  <c:v>717</c:v>
                </c:pt>
                <c:pt idx="596">
                  <c:v>191</c:v>
                </c:pt>
                <c:pt idx="597">
                  <c:v>417</c:v>
                </c:pt>
                <c:pt idx="598">
                  <c:v>598</c:v>
                </c:pt>
                <c:pt idx="599">
                  <c:v>215</c:v>
                </c:pt>
                <c:pt idx="600">
                  <c:v>593</c:v>
                </c:pt>
                <c:pt idx="601">
                  <c:v>479</c:v>
                </c:pt>
                <c:pt idx="602">
                  <c:v>477</c:v>
                </c:pt>
                <c:pt idx="603">
                  <c:v>432</c:v>
                </c:pt>
                <c:pt idx="604">
                  <c:v>224</c:v>
                </c:pt>
                <c:pt idx="605">
                  <c:v>589</c:v>
                </c:pt>
                <c:pt idx="606">
                  <c:v>447</c:v>
                </c:pt>
                <c:pt idx="607">
                  <c:v>516</c:v>
                </c:pt>
                <c:pt idx="608">
                  <c:v>499</c:v>
                </c:pt>
                <c:pt idx="609">
                  <c:v>339</c:v>
                </c:pt>
                <c:pt idx="610">
                  <c:v>580</c:v>
                </c:pt>
                <c:pt idx="611">
                  <c:v>289</c:v>
                </c:pt>
                <c:pt idx="612">
                  <c:v>425</c:v>
                </c:pt>
                <c:pt idx="613">
                  <c:v>496</c:v>
                </c:pt>
                <c:pt idx="614">
                  <c:v>675</c:v>
                </c:pt>
                <c:pt idx="615">
                  <c:v>439</c:v>
                </c:pt>
                <c:pt idx="616">
                  <c:v>596</c:v>
                </c:pt>
                <c:pt idx="617">
                  <c:v>334</c:v>
                </c:pt>
                <c:pt idx="618">
                  <c:v>539</c:v>
                </c:pt>
                <c:pt idx="619">
                  <c:v>439</c:v>
                </c:pt>
                <c:pt idx="620">
                  <c:v>439</c:v>
                </c:pt>
                <c:pt idx="621">
                  <c:v>415</c:v>
                </c:pt>
                <c:pt idx="622">
                  <c:v>400</c:v>
                </c:pt>
                <c:pt idx="623">
                  <c:v>820</c:v>
                </c:pt>
                <c:pt idx="624">
                  <c:v>668</c:v>
                </c:pt>
                <c:pt idx="625">
                  <c:v>760</c:v>
                </c:pt>
                <c:pt idx="626">
                  <c:v>397</c:v>
                </c:pt>
                <c:pt idx="627">
                  <c:v>371</c:v>
                </c:pt>
                <c:pt idx="628">
                  <c:v>405</c:v>
                </c:pt>
                <c:pt idx="629">
                  <c:v>417</c:v>
                </c:pt>
                <c:pt idx="630">
                  <c:v>366</c:v>
                </c:pt>
                <c:pt idx="631">
                  <c:v>529</c:v>
                </c:pt>
                <c:pt idx="632">
                  <c:v>497</c:v>
                </c:pt>
                <c:pt idx="633">
                  <c:v>475</c:v>
                </c:pt>
                <c:pt idx="634">
                  <c:v>650</c:v>
                </c:pt>
                <c:pt idx="635">
                  <c:v>567</c:v>
                </c:pt>
                <c:pt idx="636">
                  <c:v>386</c:v>
                </c:pt>
                <c:pt idx="637">
                  <c:v>687</c:v>
                </c:pt>
                <c:pt idx="638">
                  <c:v>371</c:v>
                </c:pt>
                <c:pt idx="639">
                  <c:v>589</c:v>
                </c:pt>
                <c:pt idx="640">
                  <c:v>584</c:v>
                </c:pt>
                <c:pt idx="641">
                  <c:v>518</c:v>
                </c:pt>
                <c:pt idx="642">
                  <c:v>439</c:v>
                </c:pt>
                <c:pt idx="643">
                  <c:v>434</c:v>
                </c:pt>
                <c:pt idx="644">
                  <c:v>422</c:v>
                </c:pt>
                <c:pt idx="645">
                  <c:v>621</c:v>
                </c:pt>
                <c:pt idx="646">
                  <c:v>499</c:v>
                </c:pt>
                <c:pt idx="647">
                  <c:v>389</c:v>
                </c:pt>
                <c:pt idx="648">
                  <c:v>489</c:v>
                </c:pt>
                <c:pt idx="649">
                  <c:v>427</c:v>
                </c:pt>
                <c:pt idx="650">
                  <c:v>576</c:v>
                </c:pt>
                <c:pt idx="651">
                  <c:v>473</c:v>
                </c:pt>
                <c:pt idx="652">
                  <c:v>526</c:v>
                </c:pt>
                <c:pt idx="653">
                  <c:v>359</c:v>
                </c:pt>
                <c:pt idx="654">
                  <c:v>589</c:v>
                </c:pt>
                <c:pt idx="655">
                  <c:v>439</c:v>
                </c:pt>
                <c:pt idx="656">
                  <c:v>426</c:v>
                </c:pt>
                <c:pt idx="657">
                  <c:v>464</c:v>
                </c:pt>
                <c:pt idx="658">
                  <c:v>605</c:v>
                </c:pt>
                <c:pt idx="659">
                  <c:v>657</c:v>
                </c:pt>
                <c:pt idx="660">
                  <c:v>491</c:v>
                </c:pt>
                <c:pt idx="661">
                  <c:v>688</c:v>
                </c:pt>
                <c:pt idx="662">
                  <c:v>497</c:v>
                </c:pt>
                <c:pt idx="663">
                  <c:v>536</c:v>
                </c:pt>
                <c:pt idx="664">
                  <c:v>449</c:v>
                </c:pt>
                <c:pt idx="665">
                  <c:v>530</c:v>
                </c:pt>
                <c:pt idx="666">
                  <c:v>631</c:v>
                </c:pt>
                <c:pt idx="667">
                  <c:v>505</c:v>
                </c:pt>
                <c:pt idx="668">
                  <c:v>558</c:v>
                </c:pt>
                <c:pt idx="669">
                  <c:v>789</c:v>
                </c:pt>
                <c:pt idx="670">
                  <c:v>928</c:v>
                </c:pt>
                <c:pt idx="671">
                  <c:v>434</c:v>
                </c:pt>
                <c:pt idx="672">
                  <c:v>511</c:v>
                </c:pt>
                <c:pt idx="673">
                  <c:v>328</c:v>
                </c:pt>
                <c:pt idx="674">
                  <c:v>471</c:v>
                </c:pt>
                <c:pt idx="675">
                  <c:v>496</c:v>
                </c:pt>
                <c:pt idx="676">
                  <c:v>591</c:v>
                </c:pt>
                <c:pt idx="677">
                  <c:v>778</c:v>
                </c:pt>
                <c:pt idx="678">
                  <c:v>507</c:v>
                </c:pt>
                <c:pt idx="679">
                  <c:v>168</c:v>
                </c:pt>
                <c:pt idx="680">
                  <c:v>443</c:v>
                </c:pt>
                <c:pt idx="681">
                  <c:v>492</c:v>
                </c:pt>
                <c:pt idx="682">
                  <c:v>468</c:v>
                </c:pt>
                <c:pt idx="683">
                  <c:v>556</c:v>
                </c:pt>
                <c:pt idx="684">
                  <c:v>289</c:v>
                </c:pt>
                <c:pt idx="685">
                  <c:v>449</c:v>
                </c:pt>
                <c:pt idx="686">
                  <c:v>340</c:v>
                </c:pt>
                <c:pt idx="687">
                  <c:v>363</c:v>
                </c:pt>
                <c:pt idx="688">
                  <c:v>389</c:v>
                </c:pt>
                <c:pt idx="689">
                  <c:v>649</c:v>
                </c:pt>
                <c:pt idx="690">
                  <c:v>506</c:v>
                </c:pt>
                <c:pt idx="691">
                  <c:v>439</c:v>
                </c:pt>
                <c:pt idx="692">
                  <c:v>499</c:v>
                </c:pt>
                <c:pt idx="693">
                  <c:v>533</c:v>
                </c:pt>
                <c:pt idx="694">
                  <c:v>463</c:v>
                </c:pt>
                <c:pt idx="695">
                  <c:v>504</c:v>
                </c:pt>
                <c:pt idx="696">
                  <c:v>589</c:v>
                </c:pt>
                <c:pt idx="697">
                  <c:v>596</c:v>
                </c:pt>
                <c:pt idx="698">
                  <c:v>539</c:v>
                </c:pt>
                <c:pt idx="699">
                  <c:v>507</c:v>
                </c:pt>
                <c:pt idx="700">
                  <c:v>586</c:v>
                </c:pt>
                <c:pt idx="701">
                  <c:v>378</c:v>
                </c:pt>
                <c:pt idx="702">
                  <c:v>484</c:v>
                </c:pt>
                <c:pt idx="703">
                  <c:v>489</c:v>
                </c:pt>
                <c:pt idx="704">
                  <c:v>527</c:v>
                </c:pt>
                <c:pt idx="705">
                  <c:v>416</c:v>
                </c:pt>
                <c:pt idx="706">
                  <c:v>463</c:v>
                </c:pt>
                <c:pt idx="707">
                  <c:v>508</c:v>
                </c:pt>
                <c:pt idx="708">
                  <c:v>589</c:v>
                </c:pt>
                <c:pt idx="709">
                  <c:v>544</c:v>
                </c:pt>
                <c:pt idx="710">
                  <c:v>373</c:v>
                </c:pt>
                <c:pt idx="711">
                  <c:v>690</c:v>
                </c:pt>
                <c:pt idx="712">
                  <c:v>389</c:v>
                </c:pt>
                <c:pt idx="713">
                  <c:v>376</c:v>
                </c:pt>
                <c:pt idx="714">
                  <c:v>580</c:v>
                </c:pt>
                <c:pt idx="715">
                  <c:v>789</c:v>
                </c:pt>
                <c:pt idx="716">
                  <c:v>538</c:v>
                </c:pt>
                <c:pt idx="717">
                  <c:v>720</c:v>
                </c:pt>
                <c:pt idx="718">
                  <c:v>453</c:v>
                </c:pt>
                <c:pt idx="719">
                  <c:v>580</c:v>
                </c:pt>
                <c:pt idx="720">
                  <c:v>594</c:v>
                </c:pt>
                <c:pt idx="721">
                  <c:v>575</c:v>
                </c:pt>
                <c:pt idx="722">
                  <c:v>726</c:v>
                </c:pt>
                <c:pt idx="723">
                  <c:v>572</c:v>
                </c:pt>
                <c:pt idx="724">
                  <c:v>775</c:v>
                </c:pt>
                <c:pt idx="725">
                  <c:v>553</c:v>
                </c:pt>
                <c:pt idx="726">
                  <c:v>498</c:v>
                </c:pt>
                <c:pt idx="727">
                  <c:v>430</c:v>
                </c:pt>
                <c:pt idx="728">
                  <c:v>474</c:v>
                </c:pt>
                <c:pt idx="729">
                  <c:v>447</c:v>
                </c:pt>
                <c:pt idx="730">
                  <c:v>426</c:v>
                </c:pt>
                <c:pt idx="731">
                  <c:v>445</c:v>
                </c:pt>
                <c:pt idx="732">
                  <c:v>481</c:v>
                </c:pt>
                <c:pt idx="733">
                  <c:v>359</c:v>
                </c:pt>
                <c:pt idx="734">
                  <c:v>439</c:v>
                </c:pt>
                <c:pt idx="735">
                  <c:v>502</c:v>
                </c:pt>
                <c:pt idx="736">
                  <c:v>520</c:v>
                </c:pt>
                <c:pt idx="737">
                  <c:v>366</c:v>
                </c:pt>
                <c:pt idx="738">
                  <c:v>389</c:v>
                </c:pt>
                <c:pt idx="739">
                  <c:v>589</c:v>
                </c:pt>
                <c:pt idx="740">
                  <c:v>289</c:v>
                </c:pt>
                <c:pt idx="741">
                  <c:v>452</c:v>
                </c:pt>
                <c:pt idx="742">
                  <c:v>405</c:v>
                </c:pt>
                <c:pt idx="743">
                  <c:v>459</c:v>
                </c:pt>
                <c:pt idx="744">
                  <c:v>517</c:v>
                </c:pt>
                <c:pt idx="745">
                  <c:v>748</c:v>
                </c:pt>
                <c:pt idx="746">
                  <c:v>607</c:v>
                </c:pt>
                <c:pt idx="747">
                  <c:v>494</c:v>
                </c:pt>
                <c:pt idx="748">
                  <c:v>539</c:v>
                </c:pt>
                <c:pt idx="749">
                  <c:v>589</c:v>
                </c:pt>
                <c:pt idx="750">
                  <c:v>541</c:v>
                </c:pt>
                <c:pt idx="751">
                  <c:v>539</c:v>
                </c:pt>
                <c:pt idx="752">
                  <c:v>441</c:v>
                </c:pt>
                <c:pt idx="753">
                  <c:v>539</c:v>
                </c:pt>
                <c:pt idx="754">
                  <c:v>433</c:v>
                </c:pt>
                <c:pt idx="755">
                  <c:v>636</c:v>
                </c:pt>
                <c:pt idx="756">
                  <c:v>717</c:v>
                </c:pt>
                <c:pt idx="757">
                  <c:v>347</c:v>
                </c:pt>
                <c:pt idx="758">
                  <c:v>507</c:v>
                </c:pt>
                <c:pt idx="759">
                  <c:v>351</c:v>
                </c:pt>
                <c:pt idx="760">
                  <c:v>518</c:v>
                </c:pt>
                <c:pt idx="761">
                  <c:v>505</c:v>
                </c:pt>
                <c:pt idx="762">
                  <c:v>488</c:v>
                </c:pt>
                <c:pt idx="763">
                  <c:v>479</c:v>
                </c:pt>
                <c:pt idx="764">
                  <c:v>374</c:v>
                </c:pt>
                <c:pt idx="765">
                  <c:v>725</c:v>
                </c:pt>
                <c:pt idx="766">
                  <c:v>272</c:v>
                </c:pt>
                <c:pt idx="767">
                  <c:v>539</c:v>
                </c:pt>
                <c:pt idx="768">
                  <c:v>557</c:v>
                </c:pt>
                <c:pt idx="769">
                  <c:v>554</c:v>
                </c:pt>
                <c:pt idx="770">
                  <c:v>417</c:v>
                </c:pt>
                <c:pt idx="771">
                  <c:v>350</c:v>
                </c:pt>
                <c:pt idx="772">
                  <c:v>501</c:v>
                </c:pt>
                <c:pt idx="773">
                  <c:v>599</c:v>
                </c:pt>
                <c:pt idx="774">
                  <c:v>378</c:v>
                </c:pt>
                <c:pt idx="775">
                  <c:v>589</c:v>
                </c:pt>
                <c:pt idx="776">
                  <c:v>589</c:v>
                </c:pt>
                <c:pt idx="777">
                  <c:v>506</c:v>
                </c:pt>
                <c:pt idx="778">
                  <c:v>396</c:v>
                </c:pt>
                <c:pt idx="779">
                  <c:v>293</c:v>
                </c:pt>
                <c:pt idx="780">
                  <c:v>572</c:v>
                </c:pt>
                <c:pt idx="781">
                  <c:v>721</c:v>
                </c:pt>
                <c:pt idx="782">
                  <c:v>574</c:v>
                </c:pt>
                <c:pt idx="783">
                  <c:v>556</c:v>
                </c:pt>
                <c:pt idx="784">
                  <c:v>824</c:v>
                </c:pt>
                <c:pt idx="785">
                  <c:v>484</c:v>
                </c:pt>
                <c:pt idx="786">
                  <c:v>684</c:v>
                </c:pt>
                <c:pt idx="787">
                  <c:v>442</c:v>
                </c:pt>
                <c:pt idx="788">
                  <c:v>536</c:v>
                </c:pt>
                <c:pt idx="789">
                  <c:v>589</c:v>
                </c:pt>
                <c:pt idx="790">
                  <c:v>525</c:v>
                </c:pt>
                <c:pt idx="791">
                  <c:v>558</c:v>
                </c:pt>
                <c:pt idx="792">
                  <c:v>388</c:v>
                </c:pt>
                <c:pt idx="793">
                  <c:v>255</c:v>
                </c:pt>
                <c:pt idx="794">
                  <c:v>442</c:v>
                </c:pt>
                <c:pt idx="795">
                  <c:v>408</c:v>
                </c:pt>
                <c:pt idx="796">
                  <c:v>678</c:v>
                </c:pt>
                <c:pt idx="797">
                  <c:v>515</c:v>
                </c:pt>
                <c:pt idx="798">
                  <c:v>482</c:v>
                </c:pt>
                <c:pt idx="799">
                  <c:v>623</c:v>
                </c:pt>
                <c:pt idx="800">
                  <c:v>676</c:v>
                </c:pt>
                <c:pt idx="801">
                  <c:v>589</c:v>
                </c:pt>
                <c:pt idx="802">
                  <c:v>583</c:v>
                </c:pt>
                <c:pt idx="803">
                  <c:v>497</c:v>
                </c:pt>
                <c:pt idx="804">
                  <c:v>301</c:v>
                </c:pt>
                <c:pt idx="805">
                  <c:v>662</c:v>
                </c:pt>
                <c:pt idx="806">
                  <c:v>464</c:v>
                </c:pt>
                <c:pt idx="807">
                  <c:v>376</c:v>
                </c:pt>
                <c:pt idx="808">
                  <c:v>715</c:v>
                </c:pt>
                <c:pt idx="809">
                  <c:v>581</c:v>
                </c:pt>
                <c:pt idx="810">
                  <c:v>429</c:v>
                </c:pt>
                <c:pt idx="811">
                  <c:v>498</c:v>
                </c:pt>
                <c:pt idx="812">
                  <c:v>589</c:v>
                </c:pt>
                <c:pt idx="813">
                  <c:v>289</c:v>
                </c:pt>
                <c:pt idx="814">
                  <c:v>435</c:v>
                </c:pt>
                <c:pt idx="815">
                  <c:v>689</c:v>
                </c:pt>
                <c:pt idx="816">
                  <c:v>518</c:v>
                </c:pt>
                <c:pt idx="817">
                  <c:v>579</c:v>
                </c:pt>
                <c:pt idx="818">
                  <c:v>389</c:v>
                </c:pt>
                <c:pt idx="819">
                  <c:v>488</c:v>
                </c:pt>
                <c:pt idx="820">
                  <c:v>746</c:v>
                </c:pt>
                <c:pt idx="821">
                  <c:v>289</c:v>
                </c:pt>
                <c:pt idx="822">
                  <c:v>766</c:v>
                </c:pt>
                <c:pt idx="823">
                  <c:v>789</c:v>
                </c:pt>
                <c:pt idx="824">
                  <c:v>489</c:v>
                </c:pt>
                <c:pt idx="825">
                  <c:v>520</c:v>
                </c:pt>
                <c:pt idx="826">
                  <c:v>452</c:v>
                </c:pt>
                <c:pt idx="827">
                  <c:v>551</c:v>
                </c:pt>
                <c:pt idx="828">
                  <c:v>527</c:v>
                </c:pt>
                <c:pt idx="829">
                  <c:v>398</c:v>
                </c:pt>
                <c:pt idx="830">
                  <c:v>878</c:v>
                </c:pt>
                <c:pt idx="831">
                  <c:v>418</c:v>
                </c:pt>
                <c:pt idx="832">
                  <c:v>389</c:v>
                </c:pt>
                <c:pt idx="833">
                  <c:v>646</c:v>
                </c:pt>
                <c:pt idx="834">
                  <c:v>525</c:v>
                </c:pt>
                <c:pt idx="835">
                  <c:v>273</c:v>
                </c:pt>
                <c:pt idx="836">
                  <c:v>206</c:v>
                </c:pt>
                <c:pt idx="837">
                  <c:v>404</c:v>
                </c:pt>
                <c:pt idx="838">
                  <c:v>564</c:v>
                </c:pt>
                <c:pt idx="839">
                  <c:v>529</c:v>
                </c:pt>
                <c:pt idx="840">
                  <c:v>889</c:v>
                </c:pt>
                <c:pt idx="841">
                  <c:v>339</c:v>
                </c:pt>
                <c:pt idx="842">
                  <c:v>672</c:v>
                </c:pt>
                <c:pt idx="843">
                  <c:v>518</c:v>
                </c:pt>
                <c:pt idx="844">
                  <c:v>323</c:v>
                </c:pt>
                <c:pt idx="845">
                  <c:v>326</c:v>
                </c:pt>
                <c:pt idx="846">
                  <c:v>589</c:v>
                </c:pt>
                <c:pt idx="847">
                  <c:v>508</c:v>
                </c:pt>
                <c:pt idx="848">
                  <c:v>541</c:v>
                </c:pt>
                <c:pt idx="849">
                  <c:v>441</c:v>
                </c:pt>
                <c:pt idx="850">
                  <c:v>450</c:v>
                </c:pt>
                <c:pt idx="851">
                  <c:v>294</c:v>
                </c:pt>
                <c:pt idx="852">
                  <c:v>424</c:v>
                </c:pt>
                <c:pt idx="853">
                  <c:v>317</c:v>
                </c:pt>
                <c:pt idx="854">
                  <c:v>507</c:v>
                </c:pt>
                <c:pt idx="855">
                  <c:v>393</c:v>
                </c:pt>
                <c:pt idx="856">
                  <c:v>579</c:v>
                </c:pt>
                <c:pt idx="857">
                  <c:v>367</c:v>
                </c:pt>
                <c:pt idx="858">
                  <c:v>513</c:v>
                </c:pt>
                <c:pt idx="859">
                  <c:v>473</c:v>
                </c:pt>
                <c:pt idx="860">
                  <c:v>438</c:v>
                </c:pt>
                <c:pt idx="861">
                  <c:v>517</c:v>
                </c:pt>
                <c:pt idx="862">
                  <c:v>323</c:v>
                </c:pt>
                <c:pt idx="863">
                  <c:v>331</c:v>
                </c:pt>
                <c:pt idx="864">
                  <c:v>364</c:v>
                </c:pt>
                <c:pt idx="865">
                  <c:v>455</c:v>
                </c:pt>
                <c:pt idx="866">
                  <c:v>438</c:v>
                </c:pt>
                <c:pt idx="867">
                  <c:v>519</c:v>
                </c:pt>
                <c:pt idx="868">
                  <c:v>763</c:v>
                </c:pt>
                <c:pt idx="869">
                  <c:v>650</c:v>
                </c:pt>
                <c:pt idx="870">
                  <c:v>635</c:v>
                </c:pt>
                <c:pt idx="871">
                  <c:v>635</c:v>
                </c:pt>
                <c:pt idx="872">
                  <c:v>412</c:v>
                </c:pt>
                <c:pt idx="873">
                  <c:v>778</c:v>
                </c:pt>
                <c:pt idx="874">
                  <c:v>391</c:v>
                </c:pt>
                <c:pt idx="875">
                  <c:v>398</c:v>
                </c:pt>
                <c:pt idx="876">
                  <c:v>289</c:v>
                </c:pt>
                <c:pt idx="877">
                  <c:v>289</c:v>
                </c:pt>
                <c:pt idx="878">
                  <c:v>397</c:v>
                </c:pt>
                <c:pt idx="879">
                  <c:v>658</c:v>
                </c:pt>
                <c:pt idx="880">
                  <c:v>459</c:v>
                </c:pt>
                <c:pt idx="881">
                  <c:v>496</c:v>
                </c:pt>
                <c:pt idx="882">
                  <c:v>270</c:v>
                </c:pt>
                <c:pt idx="883">
                  <c:v>480</c:v>
                </c:pt>
                <c:pt idx="884">
                  <c:v>585</c:v>
                </c:pt>
                <c:pt idx="885">
                  <c:v>384</c:v>
                </c:pt>
                <c:pt idx="886">
                  <c:v>594</c:v>
                </c:pt>
                <c:pt idx="887">
                  <c:v>322</c:v>
                </c:pt>
                <c:pt idx="888">
                  <c:v>624</c:v>
                </c:pt>
                <c:pt idx="889">
                  <c:v>604</c:v>
                </c:pt>
                <c:pt idx="890">
                  <c:v>384</c:v>
                </c:pt>
                <c:pt idx="891">
                  <c:v>424</c:v>
                </c:pt>
                <c:pt idx="892">
                  <c:v>489</c:v>
                </c:pt>
                <c:pt idx="893">
                  <c:v>796</c:v>
                </c:pt>
                <c:pt idx="894">
                  <c:v>477</c:v>
                </c:pt>
                <c:pt idx="895">
                  <c:v>411</c:v>
                </c:pt>
                <c:pt idx="896">
                  <c:v>439</c:v>
                </c:pt>
                <c:pt idx="897">
                  <c:v>560</c:v>
                </c:pt>
                <c:pt idx="898">
                  <c:v>400</c:v>
                </c:pt>
                <c:pt idx="899">
                  <c:v>368</c:v>
                </c:pt>
                <c:pt idx="900">
                  <c:v>335</c:v>
                </c:pt>
                <c:pt idx="901">
                  <c:v>463</c:v>
                </c:pt>
                <c:pt idx="902">
                  <c:v>394</c:v>
                </c:pt>
                <c:pt idx="903">
                  <c:v>749</c:v>
                </c:pt>
                <c:pt idx="904">
                  <c:v>410</c:v>
                </c:pt>
                <c:pt idx="905">
                  <c:v>433</c:v>
                </c:pt>
                <c:pt idx="906">
                  <c:v>519</c:v>
                </c:pt>
                <c:pt idx="907">
                  <c:v>589</c:v>
                </c:pt>
                <c:pt idx="908">
                  <c:v>842</c:v>
                </c:pt>
                <c:pt idx="909">
                  <c:v>589</c:v>
                </c:pt>
                <c:pt idx="910">
                  <c:v>539</c:v>
                </c:pt>
                <c:pt idx="911">
                  <c:v>428</c:v>
                </c:pt>
                <c:pt idx="912">
                  <c:v>587</c:v>
                </c:pt>
                <c:pt idx="913">
                  <c:v>481</c:v>
                </c:pt>
                <c:pt idx="914">
                  <c:v>778</c:v>
                </c:pt>
                <c:pt idx="915">
                  <c:v>479</c:v>
                </c:pt>
                <c:pt idx="916">
                  <c:v>582</c:v>
                </c:pt>
                <c:pt idx="917">
                  <c:v>651</c:v>
                </c:pt>
                <c:pt idx="918">
                  <c:v>574</c:v>
                </c:pt>
                <c:pt idx="919">
                  <c:v>673</c:v>
                </c:pt>
                <c:pt idx="920">
                  <c:v>534</c:v>
                </c:pt>
                <c:pt idx="921">
                  <c:v>398</c:v>
                </c:pt>
                <c:pt idx="922">
                  <c:v>289</c:v>
                </c:pt>
                <c:pt idx="923">
                  <c:v>589</c:v>
                </c:pt>
                <c:pt idx="924">
                  <c:v>271</c:v>
                </c:pt>
                <c:pt idx="925">
                  <c:v>384</c:v>
                </c:pt>
                <c:pt idx="926">
                  <c:v>407</c:v>
                </c:pt>
                <c:pt idx="927">
                  <c:v>967</c:v>
                </c:pt>
                <c:pt idx="928">
                  <c:v>630</c:v>
                </c:pt>
                <c:pt idx="929">
                  <c:v>377</c:v>
                </c:pt>
                <c:pt idx="930">
                  <c:v>456</c:v>
                </c:pt>
                <c:pt idx="931">
                  <c:v>704</c:v>
                </c:pt>
                <c:pt idx="932">
                  <c:v>503</c:v>
                </c:pt>
                <c:pt idx="933">
                  <c:v>363</c:v>
                </c:pt>
                <c:pt idx="934">
                  <c:v>453</c:v>
                </c:pt>
                <c:pt idx="935">
                  <c:v>456</c:v>
                </c:pt>
                <c:pt idx="936">
                  <c:v>480</c:v>
                </c:pt>
                <c:pt idx="937">
                  <c:v>425</c:v>
                </c:pt>
                <c:pt idx="938">
                  <c:v>424</c:v>
                </c:pt>
                <c:pt idx="939">
                  <c:v>732</c:v>
                </c:pt>
                <c:pt idx="940">
                  <c:v>895</c:v>
                </c:pt>
                <c:pt idx="941">
                  <c:v>477</c:v>
                </c:pt>
                <c:pt idx="942">
                  <c:v>571</c:v>
                </c:pt>
                <c:pt idx="943">
                  <c:v>744</c:v>
                </c:pt>
                <c:pt idx="944">
                  <c:v>419</c:v>
                </c:pt>
                <c:pt idx="945">
                  <c:v>550</c:v>
                </c:pt>
                <c:pt idx="946">
                  <c:v>588</c:v>
                </c:pt>
                <c:pt idx="947">
                  <c:v>443</c:v>
                </c:pt>
                <c:pt idx="948">
                  <c:v>539</c:v>
                </c:pt>
                <c:pt idx="949">
                  <c:v>397</c:v>
                </c:pt>
                <c:pt idx="950">
                  <c:v>368</c:v>
                </c:pt>
                <c:pt idx="951">
                  <c:v>496</c:v>
                </c:pt>
                <c:pt idx="952">
                  <c:v>254</c:v>
                </c:pt>
                <c:pt idx="953">
                  <c:v>589</c:v>
                </c:pt>
                <c:pt idx="954">
                  <c:v>558</c:v>
                </c:pt>
                <c:pt idx="955">
                  <c:v>564</c:v>
                </c:pt>
                <c:pt idx="956">
                  <c:v>546</c:v>
                </c:pt>
                <c:pt idx="957">
                  <c:v>441</c:v>
                </c:pt>
                <c:pt idx="958">
                  <c:v>405</c:v>
                </c:pt>
                <c:pt idx="959">
                  <c:v>489</c:v>
                </c:pt>
                <c:pt idx="960">
                  <c:v>573</c:v>
                </c:pt>
                <c:pt idx="961">
                  <c:v>717</c:v>
                </c:pt>
                <c:pt idx="962">
                  <c:v>437</c:v>
                </c:pt>
                <c:pt idx="963">
                  <c:v>575</c:v>
                </c:pt>
                <c:pt idx="964">
                  <c:v>445</c:v>
                </c:pt>
                <c:pt idx="965">
                  <c:v>420</c:v>
                </c:pt>
                <c:pt idx="966">
                  <c:v>633</c:v>
                </c:pt>
                <c:pt idx="967">
                  <c:v>556</c:v>
                </c:pt>
                <c:pt idx="968">
                  <c:v>522</c:v>
                </c:pt>
                <c:pt idx="969">
                  <c:v>703</c:v>
                </c:pt>
                <c:pt idx="970">
                  <c:v>395</c:v>
                </c:pt>
                <c:pt idx="971">
                  <c:v>445</c:v>
                </c:pt>
                <c:pt idx="972">
                  <c:v>417</c:v>
                </c:pt>
                <c:pt idx="973">
                  <c:v>481</c:v>
                </c:pt>
                <c:pt idx="974">
                  <c:v>489</c:v>
                </c:pt>
                <c:pt idx="975">
                  <c:v>540</c:v>
                </c:pt>
                <c:pt idx="976">
                  <c:v>409</c:v>
                </c:pt>
                <c:pt idx="977">
                  <c:v>424</c:v>
                </c:pt>
                <c:pt idx="978">
                  <c:v>489</c:v>
                </c:pt>
                <c:pt idx="979">
                  <c:v>576</c:v>
                </c:pt>
                <c:pt idx="980">
                  <c:v>325</c:v>
                </c:pt>
                <c:pt idx="981">
                  <c:v>419</c:v>
                </c:pt>
                <c:pt idx="982">
                  <c:v>558</c:v>
                </c:pt>
                <c:pt idx="983">
                  <c:v>395</c:v>
                </c:pt>
                <c:pt idx="984">
                  <c:v>652</c:v>
                </c:pt>
                <c:pt idx="985">
                  <c:v>563</c:v>
                </c:pt>
                <c:pt idx="986">
                  <c:v>327</c:v>
                </c:pt>
                <c:pt idx="987">
                  <c:v>428</c:v>
                </c:pt>
                <c:pt idx="988">
                  <c:v>492</c:v>
                </c:pt>
                <c:pt idx="989">
                  <c:v>422</c:v>
                </c:pt>
                <c:pt idx="990">
                  <c:v>401</c:v>
                </c:pt>
                <c:pt idx="991">
                  <c:v>449</c:v>
                </c:pt>
                <c:pt idx="992">
                  <c:v>489</c:v>
                </c:pt>
                <c:pt idx="993">
                  <c:v>589</c:v>
                </c:pt>
                <c:pt idx="994">
                  <c:v>551</c:v>
                </c:pt>
                <c:pt idx="995">
                  <c:v>539</c:v>
                </c:pt>
                <c:pt idx="996">
                  <c:v>574</c:v>
                </c:pt>
                <c:pt idx="997">
                  <c:v>566</c:v>
                </c:pt>
                <c:pt idx="998">
                  <c:v>451</c:v>
                </c:pt>
                <c:pt idx="999">
                  <c:v>662</c:v>
                </c:pt>
              </c:numCache>
            </c:numRef>
          </c:yVal>
          <c:smooth val="0"/>
          <c:extLst>
            <c:ext xmlns:c16="http://schemas.microsoft.com/office/drawing/2014/chart" uri="{C3380CC4-5D6E-409C-BE32-E72D297353CC}">
              <c16:uniqueId val="{00000001-EDDB-4F05-B07E-F3BED404AC2B}"/>
            </c:ext>
          </c:extLst>
        </c:ser>
        <c:dLbls>
          <c:showLegendKey val="0"/>
          <c:showVal val="0"/>
          <c:showCatName val="0"/>
          <c:showSerName val="0"/>
          <c:showPercent val="0"/>
          <c:showBubbleSize val="0"/>
        </c:dLbls>
        <c:axId val="123808400"/>
        <c:axId val="1307417760"/>
      </c:scatterChart>
      <c:valAx>
        <c:axId val="123808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417760"/>
        <c:crosses val="autoZero"/>
        <c:crossBetween val="midCat"/>
      </c:valAx>
      <c:valAx>
        <c:axId val="130741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084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Relationship Between Storage and Selling Price</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Raw_Data!$G$2:$G$1001</c:f>
              <c:numCache>
                <c:formatCode>General</c:formatCode>
                <c:ptCount val="1000"/>
                <c:pt idx="0">
                  <c:v>128</c:v>
                </c:pt>
                <c:pt idx="1">
                  <c:v>512</c:v>
                </c:pt>
                <c:pt idx="2">
                  <c:v>64</c:v>
                </c:pt>
                <c:pt idx="3">
                  <c:v>64</c:v>
                </c:pt>
                <c:pt idx="4">
                  <c:v>256</c:v>
                </c:pt>
                <c:pt idx="5">
                  <c:v>56</c:v>
                </c:pt>
                <c:pt idx="6">
                  <c:v>512</c:v>
                </c:pt>
                <c:pt idx="7">
                  <c:v>512</c:v>
                </c:pt>
                <c:pt idx="8">
                  <c:v>128</c:v>
                </c:pt>
                <c:pt idx="9">
                  <c:v>256</c:v>
                </c:pt>
                <c:pt idx="10">
                  <c:v>256</c:v>
                </c:pt>
                <c:pt idx="11">
                  <c:v>256</c:v>
                </c:pt>
                <c:pt idx="12">
                  <c:v>64</c:v>
                </c:pt>
                <c:pt idx="13">
                  <c:v>512</c:v>
                </c:pt>
                <c:pt idx="14">
                  <c:v>64</c:v>
                </c:pt>
                <c:pt idx="15">
                  <c:v>64</c:v>
                </c:pt>
                <c:pt idx="16">
                  <c:v>256</c:v>
                </c:pt>
                <c:pt idx="17">
                  <c:v>512</c:v>
                </c:pt>
                <c:pt idx="18">
                  <c:v>512</c:v>
                </c:pt>
                <c:pt idx="19">
                  <c:v>128</c:v>
                </c:pt>
                <c:pt idx="20">
                  <c:v>512</c:v>
                </c:pt>
                <c:pt idx="21">
                  <c:v>128</c:v>
                </c:pt>
                <c:pt idx="22">
                  <c:v>512</c:v>
                </c:pt>
                <c:pt idx="23">
                  <c:v>128</c:v>
                </c:pt>
                <c:pt idx="24">
                  <c:v>512</c:v>
                </c:pt>
                <c:pt idx="25">
                  <c:v>512</c:v>
                </c:pt>
                <c:pt idx="26">
                  <c:v>256</c:v>
                </c:pt>
                <c:pt idx="27">
                  <c:v>128</c:v>
                </c:pt>
                <c:pt idx="28">
                  <c:v>256</c:v>
                </c:pt>
                <c:pt idx="29">
                  <c:v>128</c:v>
                </c:pt>
                <c:pt idx="30">
                  <c:v>256</c:v>
                </c:pt>
                <c:pt idx="31">
                  <c:v>128</c:v>
                </c:pt>
                <c:pt idx="32">
                  <c:v>128</c:v>
                </c:pt>
                <c:pt idx="33">
                  <c:v>128</c:v>
                </c:pt>
                <c:pt idx="34">
                  <c:v>256</c:v>
                </c:pt>
                <c:pt idx="35">
                  <c:v>512</c:v>
                </c:pt>
                <c:pt idx="36">
                  <c:v>128</c:v>
                </c:pt>
                <c:pt idx="37">
                  <c:v>256</c:v>
                </c:pt>
                <c:pt idx="38">
                  <c:v>512</c:v>
                </c:pt>
                <c:pt idx="39">
                  <c:v>256</c:v>
                </c:pt>
                <c:pt idx="40">
                  <c:v>64</c:v>
                </c:pt>
                <c:pt idx="41">
                  <c:v>128</c:v>
                </c:pt>
                <c:pt idx="42">
                  <c:v>256</c:v>
                </c:pt>
                <c:pt idx="43">
                  <c:v>256</c:v>
                </c:pt>
                <c:pt idx="44">
                  <c:v>256</c:v>
                </c:pt>
                <c:pt idx="45">
                  <c:v>512</c:v>
                </c:pt>
                <c:pt idx="46">
                  <c:v>64</c:v>
                </c:pt>
                <c:pt idx="47">
                  <c:v>512</c:v>
                </c:pt>
                <c:pt idx="48">
                  <c:v>512</c:v>
                </c:pt>
                <c:pt idx="49">
                  <c:v>128</c:v>
                </c:pt>
                <c:pt idx="50">
                  <c:v>128</c:v>
                </c:pt>
                <c:pt idx="51">
                  <c:v>256</c:v>
                </c:pt>
                <c:pt idx="52">
                  <c:v>128</c:v>
                </c:pt>
                <c:pt idx="53">
                  <c:v>256</c:v>
                </c:pt>
                <c:pt idx="54">
                  <c:v>256</c:v>
                </c:pt>
                <c:pt idx="55">
                  <c:v>128</c:v>
                </c:pt>
                <c:pt idx="56">
                  <c:v>512</c:v>
                </c:pt>
                <c:pt idx="57">
                  <c:v>256</c:v>
                </c:pt>
                <c:pt idx="58">
                  <c:v>128</c:v>
                </c:pt>
                <c:pt idx="59">
                  <c:v>64</c:v>
                </c:pt>
                <c:pt idx="60">
                  <c:v>512</c:v>
                </c:pt>
                <c:pt idx="61">
                  <c:v>256</c:v>
                </c:pt>
                <c:pt idx="62">
                  <c:v>256</c:v>
                </c:pt>
                <c:pt idx="63">
                  <c:v>64</c:v>
                </c:pt>
                <c:pt idx="64">
                  <c:v>128</c:v>
                </c:pt>
                <c:pt idx="65">
                  <c:v>64</c:v>
                </c:pt>
                <c:pt idx="66">
                  <c:v>64</c:v>
                </c:pt>
                <c:pt idx="67">
                  <c:v>256</c:v>
                </c:pt>
                <c:pt idx="68">
                  <c:v>64</c:v>
                </c:pt>
                <c:pt idx="69">
                  <c:v>128</c:v>
                </c:pt>
                <c:pt idx="70">
                  <c:v>64</c:v>
                </c:pt>
                <c:pt idx="71">
                  <c:v>256</c:v>
                </c:pt>
                <c:pt idx="72">
                  <c:v>256</c:v>
                </c:pt>
                <c:pt idx="73">
                  <c:v>64</c:v>
                </c:pt>
                <c:pt idx="74">
                  <c:v>256</c:v>
                </c:pt>
                <c:pt idx="75">
                  <c:v>512</c:v>
                </c:pt>
                <c:pt idx="76">
                  <c:v>64</c:v>
                </c:pt>
                <c:pt idx="77">
                  <c:v>64</c:v>
                </c:pt>
                <c:pt idx="78">
                  <c:v>512</c:v>
                </c:pt>
                <c:pt idx="79">
                  <c:v>64</c:v>
                </c:pt>
                <c:pt idx="80">
                  <c:v>64</c:v>
                </c:pt>
                <c:pt idx="81">
                  <c:v>256</c:v>
                </c:pt>
                <c:pt idx="82">
                  <c:v>512</c:v>
                </c:pt>
                <c:pt idx="83">
                  <c:v>256</c:v>
                </c:pt>
                <c:pt idx="84">
                  <c:v>256</c:v>
                </c:pt>
                <c:pt idx="85">
                  <c:v>128</c:v>
                </c:pt>
                <c:pt idx="86">
                  <c:v>128</c:v>
                </c:pt>
                <c:pt idx="87">
                  <c:v>64</c:v>
                </c:pt>
                <c:pt idx="88">
                  <c:v>512</c:v>
                </c:pt>
                <c:pt idx="89">
                  <c:v>256</c:v>
                </c:pt>
                <c:pt idx="90">
                  <c:v>256</c:v>
                </c:pt>
                <c:pt idx="91">
                  <c:v>512</c:v>
                </c:pt>
                <c:pt idx="92">
                  <c:v>128</c:v>
                </c:pt>
                <c:pt idx="93">
                  <c:v>128</c:v>
                </c:pt>
                <c:pt idx="94">
                  <c:v>64</c:v>
                </c:pt>
                <c:pt idx="95">
                  <c:v>256</c:v>
                </c:pt>
                <c:pt idx="96">
                  <c:v>64</c:v>
                </c:pt>
                <c:pt idx="97">
                  <c:v>128</c:v>
                </c:pt>
                <c:pt idx="98">
                  <c:v>64</c:v>
                </c:pt>
                <c:pt idx="99">
                  <c:v>64</c:v>
                </c:pt>
                <c:pt idx="100">
                  <c:v>128</c:v>
                </c:pt>
                <c:pt idx="101">
                  <c:v>512</c:v>
                </c:pt>
                <c:pt idx="102">
                  <c:v>512</c:v>
                </c:pt>
                <c:pt idx="103">
                  <c:v>256</c:v>
                </c:pt>
                <c:pt idx="104">
                  <c:v>128</c:v>
                </c:pt>
                <c:pt idx="105">
                  <c:v>512</c:v>
                </c:pt>
                <c:pt idx="106">
                  <c:v>512</c:v>
                </c:pt>
                <c:pt idx="107">
                  <c:v>128</c:v>
                </c:pt>
                <c:pt idx="108">
                  <c:v>64</c:v>
                </c:pt>
                <c:pt idx="109">
                  <c:v>128</c:v>
                </c:pt>
                <c:pt idx="110">
                  <c:v>64</c:v>
                </c:pt>
                <c:pt idx="111">
                  <c:v>128</c:v>
                </c:pt>
                <c:pt idx="112">
                  <c:v>64</c:v>
                </c:pt>
                <c:pt idx="113">
                  <c:v>128</c:v>
                </c:pt>
                <c:pt idx="114">
                  <c:v>64</c:v>
                </c:pt>
                <c:pt idx="115">
                  <c:v>128</c:v>
                </c:pt>
                <c:pt idx="116">
                  <c:v>256</c:v>
                </c:pt>
                <c:pt idx="117">
                  <c:v>64</c:v>
                </c:pt>
                <c:pt idx="118">
                  <c:v>128</c:v>
                </c:pt>
                <c:pt idx="119">
                  <c:v>64</c:v>
                </c:pt>
                <c:pt idx="120">
                  <c:v>64</c:v>
                </c:pt>
                <c:pt idx="121">
                  <c:v>512</c:v>
                </c:pt>
                <c:pt idx="122">
                  <c:v>256</c:v>
                </c:pt>
                <c:pt idx="123">
                  <c:v>512</c:v>
                </c:pt>
                <c:pt idx="124">
                  <c:v>256</c:v>
                </c:pt>
                <c:pt idx="125">
                  <c:v>64</c:v>
                </c:pt>
                <c:pt idx="126">
                  <c:v>64</c:v>
                </c:pt>
                <c:pt idx="127">
                  <c:v>128</c:v>
                </c:pt>
                <c:pt idx="128">
                  <c:v>256</c:v>
                </c:pt>
                <c:pt idx="129">
                  <c:v>128</c:v>
                </c:pt>
                <c:pt idx="130">
                  <c:v>64</c:v>
                </c:pt>
                <c:pt idx="131">
                  <c:v>64</c:v>
                </c:pt>
                <c:pt idx="132">
                  <c:v>64</c:v>
                </c:pt>
                <c:pt idx="133">
                  <c:v>128</c:v>
                </c:pt>
                <c:pt idx="134">
                  <c:v>64</c:v>
                </c:pt>
                <c:pt idx="135">
                  <c:v>64</c:v>
                </c:pt>
                <c:pt idx="136">
                  <c:v>64</c:v>
                </c:pt>
                <c:pt idx="137">
                  <c:v>64</c:v>
                </c:pt>
                <c:pt idx="138">
                  <c:v>256</c:v>
                </c:pt>
                <c:pt idx="139">
                  <c:v>512</c:v>
                </c:pt>
                <c:pt idx="140">
                  <c:v>64</c:v>
                </c:pt>
                <c:pt idx="141">
                  <c:v>128</c:v>
                </c:pt>
                <c:pt idx="142">
                  <c:v>256</c:v>
                </c:pt>
                <c:pt idx="143">
                  <c:v>512</c:v>
                </c:pt>
                <c:pt idx="144">
                  <c:v>512</c:v>
                </c:pt>
                <c:pt idx="145">
                  <c:v>256</c:v>
                </c:pt>
                <c:pt idx="146">
                  <c:v>256</c:v>
                </c:pt>
                <c:pt idx="147">
                  <c:v>128</c:v>
                </c:pt>
                <c:pt idx="148">
                  <c:v>256</c:v>
                </c:pt>
                <c:pt idx="149">
                  <c:v>128</c:v>
                </c:pt>
                <c:pt idx="150">
                  <c:v>128</c:v>
                </c:pt>
                <c:pt idx="151">
                  <c:v>256</c:v>
                </c:pt>
                <c:pt idx="152">
                  <c:v>256</c:v>
                </c:pt>
                <c:pt idx="153">
                  <c:v>128</c:v>
                </c:pt>
                <c:pt idx="154">
                  <c:v>64</c:v>
                </c:pt>
                <c:pt idx="155">
                  <c:v>256</c:v>
                </c:pt>
                <c:pt idx="156">
                  <c:v>64</c:v>
                </c:pt>
                <c:pt idx="157">
                  <c:v>128</c:v>
                </c:pt>
                <c:pt idx="158">
                  <c:v>128</c:v>
                </c:pt>
                <c:pt idx="159">
                  <c:v>128</c:v>
                </c:pt>
                <c:pt idx="160">
                  <c:v>128</c:v>
                </c:pt>
                <c:pt idx="161">
                  <c:v>128</c:v>
                </c:pt>
                <c:pt idx="162">
                  <c:v>64</c:v>
                </c:pt>
                <c:pt idx="163">
                  <c:v>256</c:v>
                </c:pt>
                <c:pt idx="164">
                  <c:v>64</c:v>
                </c:pt>
                <c:pt idx="165">
                  <c:v>128</c:v>
                </c:pt>
                <c:pt idx="166">
                  <c:v>64</c:v>
                </c:pt>
                <c:pt idx="167">
                  <c:v>64</c:v>
                </c:pt>
                <c:pt idx="168">
                  <c:v>256</c:v>
                </c:pt>
                <c:pt idx="169">
                  <c:v>64</c:v>
                </c:pt>
                <c:pt idx="170">
                  <c:v>256</c:v>
                </c:pt>
                <c:pt idx="171">
                  <c:v>128</c:v>
                </c:pt>
                <c:pt idx="172">
                  <c:v>64</c:v>
                </c:pt>
                <c:pt idx="173">
                  <c:v>512</c:v>
                </c:pt>
                <c:pt idx="174">
                  <c:v>128</c:v>
                </c:pt>
                <c:pt idx="175">
                  <c:v>64</c:v>
                </c:pt>
                <c:pt idx="176">
                  <c:v>512</c:v>
                </c:pt>
                <c:pt idx="177">
                  <c:v>128</c:v>
                </c:pt>
                <c:pt idx="178">
                  <c:v>128</c:v>
                </c:pt>
                <c:pt idx="179">
                  <c:v>128</c:v>
                </c:pt>
                <c:pt idx="180">
                  <c:v>64</c:v>
                </c:pt>
                <c:pt idx="181">
                  <c:v>128</c:v>
                </c:pt>
                <c:pt idx="182">
                  <c:v>256</c:v>
                </c:pt>
                <c:pt idx="183">
                  <c:v>512</c:v>
                </c:pt>
                <c:pt idx="184">
                  <c:v>256</c:v>
                </c:pt>
                <c:pt idx="185">
                  <c:v>256</c:v>
                </c:pt>
                <c:pt idx="186">
                  <c:v>512</c:v>
                </c:pt>
                <c:pt idx="187">
                  <c:v>64</c:v>
                </c:pt>
                <c:pt idx="188">
                  <c:v>128</c:v>
                </c:pt>
                <c:pt idx="189">
                  <c:v>256</c:v>
                </c:pt>
                <c:pt idx="190">
                  <c:v>512</c:v>
                </c:pt>
                <c:pt idx="191">
                  <c:v>128</c:v>
                </c:pt>
                <c:pt idx="192">
                  <c:v>128</c:v>
                </c:pt>
                <c:pt idx="193">
                  <c:v>64</c:v>
                </c:pt>
                <c:pt idx="194">
                  <c:v>256</c:v>
                </c:pt>
                <c:pt idx="195">
                  <c:v>128</c:v>
                </c:pt>
                <c:pt idx="196">
                  <c:v>128</c:v>
                </c:pt>
                <c:pt idx="197">
                  <c:v>512</c:v>
                </c:pt>
                <c:pt idx="198">
                  <c:v>128</c:v>
                </c:pt>
                <c:pt idx="199">
                  <c:v>256</c:v>
                </c:pt>
                <c:pt idx="200">
                  <c:v>256</c:v>
                </c:pt>
                <c:pt idx="201">
                  <c:v>256</c:v>
                </c:pt>
                <c:pt idx="202">
                  <c:v>128</c:v>
                </c:pt>
                <c:pt idx="203">
                  <c:v>64</c:v>
                </c:pt>
                <c:pt idx="204">
                  <c:v>64</c:v>
                </c:pt>
                <c:pt idx="205">
                  <c:v>256</c:v>
                </c:pt>
                <c:pt idx="206">
                  <c:v>64</c:v>
                </c:pt>
                <c:pt idx="207">
                  <c:v>128</c:v>
                </c:pt>
                <c:pt idx="208">
                  <c:v>512</c:v>
                </c:pt>
                <c:pt idx="209">
                  <c:v>128</c:v>
                </c:pt>
                <c:pt idx="210">
                  <c:v>128</c:v>
                </c:pt>
                <c:pt idx="211">
                  <c:v>64</c:v>
                </c:pt>
                <c:pt idx="212">
                  <c:v>128</c:v>
                </c:pt>
                <c:pt idx="213">
                  <c:v>64</c:v>
                </c:pt>
                <c:pt idx="214">
                  <c:v>64</c:v>
                </c:pt>
                <c:pt idx="215">
                  <c:v>512</c:v>
                </c:pt>
                <c:pt idx="216">
                  <c:v>128</c:v>
                </c:pt>
                <c:pt idx="217">
                  <c:v>128</c:v>
                </c:pt>
                <c:pt idx="218">
                  <c:v>512</c:v>
                </c:pt>
                <c:pt idx="219">
                  <c:v>64</c:v>
                </c:pt>
                <c:pt idx="220">
                  <c:v>64</c:v>
                </c:pt>
                <c:pt idx="221">
                  <c:v>64</c:v>
                </c:pt>
                <c:pt idx="222">
                  <c:v>256</c:v>
                </c:pt>
                <c:pt idx="223">
                  <c:v>128</c:v>
                </c:pt>
                <c:pt idx="224">
                  <c:v>64</c:v>
                </c:pt>
                <c:pt idx="225">
                  <c:v>64</c:v>
                </c:pt>
                <c:pt idx="226">
                  <c:v>128</c:v>
                </c:pt>
                <c:pt idx="227">
                  <c:v>256</c:v>
                </c:pt>
                <c:pt idx="228">
                  <c:v>128</c:v>
                </c:pt>
                <c:pt idx="229">
                  <c:v>256</c:v>
                </c:pt>
                <c:pt idx="230">
                  <c:v>64</c:v>
                </c:pt>
                <c:pt idx="231">
                  <c:v>64</c:v>
                </c:pt>
                <c:pt idx="232">
                  <c:v>256</c:v>
                </c:pt>
                <c:pt idx="233">
                  <c:v>512</c:v>
                </c:pt>
                <c:pt idx="234">
                  <c:v>64</c:v>
                </c:pt>
                <c:pt idx="235">
                  <c:v>128</c:v>
                </c:pt>
                <c:pt idx="236">
                  <c:v>128</c:v>
                </c:pt>
                <c:pt idx="237">
                  <c:v>64</c:v>
                </c:pt>
                <c:pt idx="238">
                  <c:v>256</c:v>
                </c:pt>
                <c:pt idx="239">
                  <c:v>64</c:v>
                </c:pt>
                <c:pt idx="240">
                  <c:v>64</c:v>
                </c:pt>
                <c:pt idx="241">
                  <c:v>64</c:v>
                </c:pt>
                <c:pt idx="242">
                  <c:v>256</c:v>
                </c:pt>
                <c:pt idx="243">
                  <c:v>512</c:v>
                </c:pt>
                <c:pt idx="244">
                  <c:v>512</c:v>
                </c:pt>
                <c:pt idx="245">
                  <c:v>512</c:v>
                </c:pt>
                <c:pt idx="246">
                  <c:v>256</c:v>
                </c:pt>
                <c:pt idx="247">
                  <c:v>256</c:v>
                </c:pt>
                <c:pt idx="248">
                  <c:v>128</c:v>
                </c:pt>
                <c:pt idx="249">
                  <c:v>128</c:v>
                </c:pt>
                <c:pt idx="250">
                  <c:v>128</c:v>
                </c:pt>
                <c:pt idx="251">
                  <c:v>128</c:v>
                </c:pt>
                <c:pt idx="252">
                  <c:v>128</c:v>
                </c:pt>
                <c:pt idx="253">
                  <c:v>512</c:v>
                </c:pt>
                <c:pt idx="254">
                  <c:v>256</c:v>
                </c:pt>
                <c:pt idx="255">
                  <c:v>256</c:v>
                </c:pt>
                <c:pt idx="256">
                  <c:v>64</c:v>
                </c:pt>
                <c:pt idx="257">
                  <c:v>128</c:v>
                </c:pt>
                <c:pt idx="258">
                  <c:v>64</c:v>
                </c:pt>
                <c:pt idx="259">
                  <c:v>128</c:v>
                </c:pt>
                <c:pt idx="260">
                  <c:v>64</c:v>
                </c:pt>
                <c:pt idx="261">
                  <c:v>128</c:v>
                </c:pt>
                <c:pt idx="262">
                  <c:v>64</c:v>
                </c:pt>
                <c:pt idx="263">
                  <c:v>64</c:v>
                </c:pt>
                <c:pt idx="264">
                  <c:v>128</c:v>
                </c:pt>
                <c:pt idx="265">
                  <c:v>256</c:v>
                </c:pt>
                <c:pt idx="266">
                  <c:v>128</c:v>
                </c:pt>
                <c:pt idx="267">
                  <c:v>512</c:v>
                </c:pt>
                <c:pt idx="268">
                  <c:v>64</c:v>
                </c:pt>
                <c:pt idx="269">
                  <c:v>512</c:v>
                </c:pt>
                <c:pt idx="270">
                  <c:v>512</c:v>
                </c:pt>
                <c:pt idx="271">
                  <c:v>512</c:v>
                </c:pt>
                <c:pt idx="272">
                  <c:v>512</c:v>
                </c:pt>
                <c:pt idx="273">
                  <c:v>64</c:v>
                </c:pt>
                <c:pt idx="274">
                  <c:v>128</c:v>
                </c:pt>
                <c:pt idx="275">
                  <c:v>512</c:v>
                </c:pt>
                <c:pt idx="276">
                  <c:v>256</c:v>
                </c:pt>
                <c:pt idx="277">
                  <c:v>64</c:v>
                </c:pt>
                <c:pt idx="278">
                  <c:v>64</c:v>
                </c:pt>
                <c:pt idx="279">
                  <c:v>512</c:v>
                </c:pt>
                <c:pt idx="280">
                  <c:v>256</c:v>
                </c:pt>
                <c:pt idx="281">
                  <c:v>64</c:v>
                </c:pt>
                <c:pt idx="282">
                  <c:v>512</c:v>
                </c:pt>
                <c:pt idx="283">
                  <c:v>128</c:v>
                </c:pt>
                <c:pt idx="284">
                  <c:v>256</c:v>
                </c:pt>
                <c:pt idx="285">
                  <c:v>512</c:v>
                </c:pt>
                <c:pt idx="286">
                  <c:v>256</c:v>
                </c:pt>
                <c:pt idx="287">
                  <c:v>64</c:v>
                </c:pt>
                <c:pt idx="288">
                  <c:v>64</c:v>
                </c:pt>
                <c:pt idx="289">
                  <c:v>64</c:v>
                </c:pt>
                <c:pt idx="290">
                  <c:v>64</c:v>
                </c:pt>
                <c:pt idx="291">
                  <c:v>128</c:v>
                </c:pt>
                <c:pt idx="292">
                  <c:v>64</c:v>
                </c:pt>
                <c:pt idx="293">
                  <c:v>512</c:v>
                </c:pt>
                <c:pt idx="294">
                  <c:v>64</c:v>
                </c:pt>
                <c:pt idx="295">
                  <c:v>128</c:v>
                </c:pt>
                <c:pt idx="296">
                  <c:v>64</c:v>
                </c:pt>
                <c:pt idx="297">
                  <c:v>512</c:v>
                </c:pt>
                <c:pt idx="298">
                  <c:v>512</c:v>
                </c:pt>
                <c:pt idx="299">
                  <c:v>64</c:v>
                </c:pt>
                <c:pt idx="300">
                  <c:v>64</c:v>
                </c:pt>
                <c:pt idx="301">
                  <c:v>512</c:v>
                </c:pt>
                <c:pt idx="302">
                  <c:v>128</c:v>
                </c:pt>
                <c:pt idx="303">
                  <c:v>256</c:v>
                </c:pt>
                <c:pt idx="304">
                  <c:v>128</c:v>
                </c:pt>
                <c:pt idx="305">
                  <c:v>128</c:v>
                </c:pt>
                <c:pt idx="306">
                  <c:v>64</c:v>
                </c:pt>
                <c:pt idx="307">
                  <c:v>64</c:v>
                </c:pt>
                <c:pt idx="308">
                  <c:v>128</c:v>
                </c:pt>
                <c:pt idx="309">
                  <c:v>128</c:v>
                </c:pt>
                <c:pt idx="310">
                  <c:v>64</c:v>
                </c:pt>
                <c:pt idx="311">
                  <c:v>128</c:v>
                </c:pt>
                <c:pt idx="312">
                  <c:v>256</c:v>
                </c:pt>
                <c:pt idx="313">
                  <c:v>512</c:v>
                </c:pt>
                <c:pt idx="314">
                  <c:v>128</c:v>
                </c:pt>
                <c:pt idx="315">
                  <c:v>64</c:v>
                </c:pt>
                <c:pt idx="316">
                  <c:v>64</c:v>
                </c:pt>
                <c:pt idx="317">
                  <c:v>512</c:v>
                </c:pt>
                <c:pt idx="318">
                  <c:v>512</c:v>
                </c:pt>
                <c:pt idx="319">
                  <c:v>256</c:v>
                </c:pt>
                <c:pt idx="320">
                  <c:v>128</c:v>
                </c:pt>
                <c:pt idx="321">
                  <c:v>256</c:v>
                </c:pt>
                <c:pt idx="322">
                  <c:v>64</c:v>
                </c:pt>
                <c:pt idx="323">
                  <c:v>128</c:v>
                </c:pt>
                <c:pt idx="324">
                  <c:v>128</c:v>
                </c:pt>
                <c:pt idx="325">
                  <c:v>512</c:v>
                </c:pt>
                <c:pt idx="326">
                  <c:v>512</c:v>
                </c:pt>
                <c:pt idx="327">
                  <c:v>512</c:v>
                </c:pt>
                <c:pt idx="328">
                  <c:v>256</c:v>
                </c:pt>
                <c:pt idx="329">
                  <c:v>64</c:v>
                </c:pt>
                <c:pt idx="330">
                  <c:v>256</c:v>
                </c:pt>
                <c:pt idx="331">
                  <c:v>128</c:v>
                </c:pt>
                <c:pt idx="332">
                  <c:v>64</c:v>
                </c:pt>
                <c:pt idx="333">
                  <c:v>128</c:v>
                </c:pt>
                <c:pt idx="334">
                  <c:v>256</c:v>
                </c:pt>
                <c:pt idx="335">
                  <c:v>512</c:v>
                </c:pt>
                <c:pt idx="336">
                  <c:v>64</c:v>
                </c:pt>
                <c:pt idx="337">
                  <c:v>256</c:v>
                </c:pt>
                <c:pt idx="338">
                  <c:v>256</c:v>
                </c:pt>
                <c:pt idx="339">
                  <c:v>64</c:v>
                </c:pt>
                <c:pt idx="340">
                  <c:v>64</c:v>
                </c:pt>
                <c:pt idx="341">
                  <c:v>128</c:v>
                </c:pt>
                <c:pt idx="342">
                  <c:v>64</c:v>
                </c:pt>
                <c:pt idx="343">
                  <c:v>512</c:v>
                </c:pt>
                <c:pt idx="344">
                  <c:v>128</c:v>
                </c:pt>
                <c:pt idx="345">
                  <c:v>512</c:v>
                </c:pt>
                <c:pt idx="346">
                  <c:v>256</c:v>
                </c:pt>
                <c:pt idx="347">
                  <c:v>128</c:v>
                </c:pt>
                <c:pt idx="348">
                  <c:v>512</c:v>
                </c:pt>
                <c:pt idx="349">
                  <c:v>128</c:v>
                </c:pt>
                <c:pt idx="350">
                  <c:v>512</c:v>
                </c:pt>
                <c:pt idx="351">
                  <c:v>64</c:v>
                </c:pt>
                <c:pt idx="352">
                  <c:v>512</c:v>
                </c:pt>
                <c:pt idx="353">
                  <c:v>64</c:v>
                </c:pt>
                <c:pt idx="354">
                  <c:v>256</c:v>
                </c:pt>
                <c:pt idx="355">
                  <c:v>256</c:v>
                </c:pt>
                <c:pt idx="356">
                  <c:v>256</c:v>
                </c:pt>
                <c:pt idx="357">
                  <c:v>64</c:v>
                </c:pt>
                <c:pt idx="358">
                  <c:v>512</c:v>
                </c:pt>
                <c:pt idx="359">
                  <c:v>512</c:v>
                </c:pt>
                <c:pt idx="360">
                  <c:v>64</c:v>
                </c:pt>
                <c:pt idx="361">
                  <c:v>256</c:v>
                </c:pt>
                <c:pt idx="362">
                  <c:v>64</c:v>
                </c:pt>
                <c:pt idx="363">
                  <c:v>64</c:v>
                </c:pt>
                <c:pt idx="364">
                  <c:v>64</c:v>
                </c:pt>
                <c:pt idx="365">
                  <c:v>64</c:v>
                </c:pt>
                <c:pt idx="366">
                  <c:v>256</c:v>
                </c:pt>
                <c:pt idx="367">
                  <c:v>128</c:v>
                </c:pt>
                <c:pt idx="368">
                  <c:v>128</c:v>
                </c:pt>
                <c:pt idx="369">
                  <c:v>64</c:v>
                </c:pt>
                <c:pt idx="370">
                  <c:v>512</c:v>
                </c:pt>
                <c:pt idx="371">
                  <c:v>64</c:v>
                </c:pt>
                <c:pt idx="372">
                  <c:v>64</c:v>
                </c:pt>
                <c:pt idx="373">
                  <c:v>512</c:v>
                </c:pt>
                <c:pt idx="374">
                  <c:v>64</c:v>
                </c:pt>
                <c:pt idx="375">
                  <c:v>512</c:v>
                </c:pt>
                <c:pt idx="376">
                  <c:v>512</c:v>
                </c:pt>
                <c:pt idx="377">
                  <c:v>64</c:v>
                </c:pt>
                <c:pt idx="378">
                  <c:v>64</c:v>
                </c:pt>
                <c:pt idx="379">
                  <c:v>128</c:v>
                </c:pt>
                <c:pt idx="380">
                  <c:v>64</c:v>
                </c:pt>
                <c:pt idx="381">
                  <c:v>64</c:v>
                </c:pt>
                <c:pt idx="382">
                  <c:v>512</c:v>
                </c:pt>
                <c:pt idx="383">
                  <c:v>256</c:v>
                </c:pt>
                <c:pt idx="384">
                  <c:v>128</c:v>
                </c:pt>
                <c:pt idx="385">
                  <c:v>64</c:v>
                </c:pt>
                <c:pt idx="386">
                  <c:v>512</c:v>
                </c:pt>
                <c:pt idx="387">
                  <c:v>256</c:v>
                </c:pt>
                <c:pt idx="388">
                  <c:v>512</c:v>
                </c:pt>
                <c:pt idx="389">
                  <c:v>256</c:v>
                </c:pt>
                <c:pt idx="390">
                  <c:v>512</c:v>
                </c:pt>
                <c:pt idx="391">
                  <c:v>512</c:v>
                </c:pt>
                <c:pt idx="392">
                  <c:v>512</c:v>
                </c:pt>
                <c:pt idx="393">
                  <c:v>128</c:v>
                </c:pt>
                <c:pt idx="394">
                  <c:v>64</c:v>
                </c:pt>
                <c:pt idx="395">
                  <c:v>64</c:v>
                </c:pt>
                <c:pt idx="396">
                  <c:v>64</c:v>
                </c:pt>
                <c:pt idx="397">
                  <c:v>256</c:v>
                </c:pt>
                <c:pt idx="398">
                  <c:v>64</c:v>
                </c:pt>
                <c:pt idx="399">
                  <c:v>128</c:v>
                </c:pt>
                <c:pt idx="400">
                  <c:v>512</c:v>
                </c:pt>
                <c:pt idx="401">
                  <c:v>128</c:v>
                </c:pt>
                <c:pt idx="402">
                  <c:v>256</c:v>
                </c:pt>
                <c:pt idx="403">
                  <c:v>256</c:v>
                </c:pt>
                <c:pt idx="404">
                  <c:v>64</c:v>
                </c:pt>
                <c:pt idx="405">
                  <c:v>64</c:v>
                </c:pt>
                <c:pt idx="406">
                  <c:v>256</c:v>
                </c:pt>
                <c:pt idx="407">
                  <c:v>512</c:v>
                </c:pt>
                <c:pt idx="408">
                  <c:v>128</c:v>
                </c:pt>
                <c:pt idx="409">
                  <c:v>512</c:v>
                </c:pt>
                <c:pt idx="410">
                  <c:v>512</c:v>
                </c:pt>
                <c:pt idx="411">
                  <c:v>256</c:v>
                </c:pt>
                <c:pt idx="412">
                  <c:v>64</c:v>
                </c:pt>
                <c:pt idx="413">
                  <c:v>64</c:v>
                </c:pt>
                <c:pt idx="414">
                  <c:v>512</c:v>
                </c:pt>
                <c:pt idx="415">
                  <c:v>128</c:v>
                </c:pt>
                <c:pt idx="416">
                  <c:v>512</c:v>
                </c:pt>
                <c:pt idx="417">
                  <c:v>64</c:v>
                </c:pt>
                <c:pt idx="418">
                  <c:v>512</c:v>
                </c:pt>
                <c:pt idx="419">
                  <c:v>256</c:v>
                </c:pt>
                <c:pt idx="420">
                  <c:v>64</c:v>
                </c:pt>
                <c:pt idx="421">
                  <c:v>256</c:v>
                </c:pt>
                <c:pt idx="422">
                  <c:v>128</c:v>
                </c:pt>
                <c:pt idx="423">
                  <c:v>256</c:v>
                </c:pt>
                <c:pt idx="424">
                  <c:v>512</c:v>
                </c:pt>
                <c:pt idx="425">
                  <c:v>512</c:v>
                </c:pt>
                <c:pt idx="426">
                  <c:v>128</c:v>
                </c:pt>
                <c:pt idx="427">
                  <c:v>512</c:v>
                </c:pt>
                <c:pt idx="428">
                  <c:v>64</c:v>
                </c:pt>
                <c:pt idx="429">
                  <c:v>128</c:v>
                </c:pt>
                <c:pt idx="430">
                  <c:v>512</c:v>
                </c:pt>
                <c:pt idx="431">
                  <c:v>128</c:v>
                </c:pt>
                <c:pt idx="432">
                  <c:v>64</c:v>
                </c:pt>
                <c:pt idx="433">
                  <c:v>64</c:v>
                </c:pt>
                <c:pt idx="434">
                  <c:v>64</c:v>
                </c:pt>
                <c:pt idx="435">
                  <c:v>512</c:v>
                </c:pt>
                <c:pt idx="436">
                  <c:v>512</c:v>
                </c:pt>
                <c:pt idx="437">
                  <c:v>512</c:v>
                </c:pt>
                <c:pt idx="438">
                  <c:v>64</c:v>
                </c:pt>
                <c:pt idx="439">
                  <c:v>64</c:v>
                </c:pt>
                <c:pt idx="440">
                  <c:v>512</c:v>
                </c:pt>
                <c:pt idx="441">
                  <c:v>512</c:v>
                </c:pt>
                <c:pt idx="442">
                  <c:v>256</c:v>
                </c:pt>
                <c:pt idx="443">
                  <c:v>512</c:v>
                </c:pt>
                <c:pt idx="444">
                  <c:v>128</c:v>
                </c:pt>
                <c:pt idx="445">
                  <c:v>256</c:v>
                </c:pt>
                <c:pt idx="446">
                  <c:v>256</c:v>
                </c:pt>
                <c:pt idx="447">
                  <c:v>256</c:v>
                </c:pt>
                <c:pt idx="448">
                  <c:v>128</c:v>
                </c:pt>
                <c:pt idx="449">
                  <c:v>64</c:v>
                </c:pt>
                <c:pt idx="450">
                  <c:v>64</c:v>
                </c:pt>
                <c:pt idx="451">
                  <c:v>64</c:v>
                </c:pt>
                <c:pt idx="452">
                  <c:v>512</c:v>
                </c:pt>
                <c:pt idx="453">
                  <c:v>64</c:v>
                </c:pt>
                <c:pt idx="454">
                  <c:v>512</c:v>
                </c:pt>
                <c:pt idx="455">
                  <c:v>256</c:v>
                </c:pt>
                <c:pt idx="456">
                  <c:v>128</c:v>
                </c:pt>
                <c:pt idx="457">
                  <c:v>128</c:v>
                </c:pt>
                <c:pt idx="458">
                  <c:v>512</c:v>
                </c:pt>
                <c:pt idx="459">
                  <c:v>512</c:v>
                </c:pt>
                <c:pt idx="460">
                  <c:v>256</c:v>
                </c:pt>
                <c:pt idx="461">
                  <c:v>64</c:v>
                </c:pt>
                <c:pt idx="462">
                  <c:v>64</c:v>
                </c:pt>
                <c:pt idx="463">
                  <c:v>128</c:v>
                </c:pt>
                <c:pt idx="464">
                  <c:v>256</c:v>
                </c:pt>
                <c:pt idx="465">
                  <c:v>512</c:v>
                </c:pt>
                <c:pt idx="466">
                  <c:v>512</c:v>
                </c:pt>
                <c:pt idx="467">
                  <c:v>256</c:v>
                </c:pt>
                <c:pt idx="468">
                  <c:v>128</c:v>
                </c:pt>
                <c:pt idx="469">
                  <c:v>64</c:v>
                </c:pt>
                <c:pt idx="470">
                  <c:v>128</c:v>
                </c:pt>
                <c:pt idx="471">
                  <c:v>64</c:v>
                </c:pt>
                <c:pt idx="472">
                  <c:v>64</c:v>
                </c:pt>
                <c:pt idx="473">
                  <c:v>128</c:v>
                </c:pt>
                <c:pt idx="474">
                  <c:v>64</c:v>
                </c:pt>
                <c:pt idx="475">
                  <c:v>256</c:v>
                </c:pt>
                <c:pt idx="476">
                  <c:v>128</c:v>
                </c:pt>
                <c:pt idx="477">
                  <c:v>128</c:v>
                </c:pt>
                <c:pt idx="478">
                  <c:v>128</c:v>
                </c:pt>
                <c:pt idx="479">
                  <c:v>512</c:v>
                </c:pt>
                <c:pt idx="480">
                  <c:v>256</c:v>
                </c:pt>
                <c:pt idx="481">
                  <c:v>128</c:v>
                </c:pt>
                <c:pt idx="482">
                  <c:v>512</c:v>
                </c:pt>
                <c:pt idx="483">
                  <c:v>128</c:v>
                </c:pt>
                <c:pt idx="484">
                  <c:v>64</c:v>
                </c:pt>
                <c:pt idx="485">
                  <c:v>512</c:v>
                </c:pt>
                <c:pt idx="486">
                  <c:v>64</c:v>
                </c:pt>
                <c:pt idx="487">
                  <c:v>512</c:v>
                </c:pt>
                <c:pt idx="488">
                  <c:v>256</c:v>
                </c:pt>
                <c:pt idx="489">
                  <c:v>128</c:v>
                </c:pt>
                <c:pt idx="490">
                  <c:v>512</c:v>
                </c:pt>
                <c:pt idx="491">
                  <c:v>512</c:v>
                </c:pt>
                <c:pt idx="492">
                  <c:v>128</c:v>
                </c:pt>
                <c:pt idx="493">
                  <c:v>512</c:v>
                </c:pt>
                <c:pt idx="494">
                  <c:v>64</c:v>
                </c:pt>
                <c:pt idx="495">
                  <c:v>128</c:v>
                </c:pt>
                <c:pt idx="496">
                  <c:v>128</c:v>
                </c:pt>
                <c:pt idx="497">
                  <c:v>512</c:v>
                </c:pt>
                <c:pt idx="498">
                  <c:v>128</c:v>
                </c:pt>
                <c:pt idx="499">
                  <c:v>128</c:v>
                </c:pt>
                <c:pt idx="500">
                  <c:v>128</c:v>
                </c:pt>
                <c:pt idx="501">
                  <c:v>256</c:v>
                </c:pt>
                <c:pt idx="502">
                  <c:v>128</c:v>
                </c:pt>
                <c:pt idx="503">
                  <c:v>256</c:v>
                </c:pt>
                <c:pt idx="504">
                  <c:v>256</c:v>
                </c:pt>
                <c:pt idx="505">
                  <c:v>512</c:v>
                </c:pt>
                <c:pt idx="506">
                  <c:v>256</c:v>
                </c:pt>
                <c:pt idx="507">
                  <c:v>256</c:v>
                </c:pt>
                <c:pt idx="508">
                  <c:v>256</c:v>
                </c:pt>
                <c:pt idx="509">
                  <c:v>256</c:v>
                </c:pt>
                <c:pt idx="510">
                  <c:v>256</c:v>
                </c:pt>
                <c:pt idx="511">
                  <c:v>64</c:v>
                </c:pt>
                <c:pt idx="512">
                  <c:v>128</c:v>
                </c:pt>
                <c:pt idx="513">
                  <c:v>256</c:v>
                </c:pt>
                <c:pt idx="514">
                  <c:v>512</c:v>
                </c:pt>
                <c:pt idx="515">
                  <c:v>256</c:v>
                </c:pt>
                <c:pt idx="516">
                  <c:v>128</c:v>
                </c:pt>
                <c:pt idx="517">
                  <c:v>64</c:v>
                </c:pt>
                <c:pt idx="518">
                  <c:v>64</c:v>
                </c:pt>
                <c:pt idx="519">
                  <c:v>128</c:v>
                </c:pt>
                <c:pt idx="520">
                  <c:v>128</c:v>
                </c:pt>
                <c:pt idx="521">
                  <c:v>64</c:v>
                </c:pt>
                <c:pt idx="522">
                  <c:v>128</c:v>
                </c:pt>
                <c:pt idx="523">
                  <c:v>512</c:v>
                </c:pt>
                <c:pt idx="524">
                  <c:v>64</c:v>
                </c:pt>
                <c:pt idx="525">
                  <c:v>512</c:v>
                </c:pt>
                <c:pt idx="526">
                  <c:v>128</c:v>
                </c:pt>
                <c:pt idx="527">
                  <c:v>128</c:v>
                </c:pt>
                <c:pt idx="528">
                  <c:v>128</c:v>
                </c:pt>
                <c:pt idx="529">
                  <c:v>512</c:v>
                </c:pt>
                <c:pt idx="530">
                  <c:v>64</c:v>
                </c:pt>
                <c:pt idx="531">
                  <c:v>64</c:v>
                </c:pt>
                <c:pt idx="532">
                  <c:v>64</c:v>
                </c:pt>
                <c:pt idx="533">
                  <c:v>256</c:v>
                </c:pt>
                <c:pt idx="534">
                  <c:v>64</c:v>
                </c:pt>
                <c:pt idx="535">
                  <c:v>64</c:v>
                </c:pt>
                <c:pt idx="536">
                  <c:v>128</c:v>
                </c:pt>
                <c:pt idx="537">
                  <c:v>128</c:v>
                </c:pt>
                <c:pt idx="538">
                  <c:v>512</c:v>
                </c:pt>
                <c:pt idx="539">
                  <c:v>64</c:v>
                </c:pt>
                <c:pt idx="540">
                  <c:v>256</c:v>
                </c:pt>
                <c:pt idx="541">
                  <c:v>256</c:v>
                </c:pt>
                <c:pt idx="542">
                  <c:v>64</c:v>
                </c:pt>
                <c:pt idx="543">
                  <c:v>512</c:v>
                </c:pt>
                <c:pt idx="544">
                  <c:v>256</c:v>
                </c:pt>
                <c:pt idx="545">
                  <c:v>64</c:v>
                </c:pt>
                <c:pt idx="546">
                  <c:v>128</c:v>
                </c:pt>
                <c:pt idx="547">
                  <c:v>512</c:v>
                </c:pt>
                <c:pt idx="548">
                  <c:v>128</c:v>
                </c:pt>
                <c:pt idx="549">
                  <c:v>512</c:v>
                </c:pt>
                <c:pt idx="550">
                  <c:v>128</c:v>
                </c:pt>
                <c:pt idx="551">
                  <c:v>128</c:v>
                </c:pt>
                <c:pt idx="552">
                  <c:v>64</c:v>
                </c:pt>
                <c:pt idx="553">
                  <c:v>256</c:v>
                </c:pt>
                <c:pt idx="554">
                  <c:v>128</c:v>
                </c:pt>
                <c:pt idx="555">
                  <c:v>64</c:v>
                </c:pt>
                <c:pt idx="556">
                  <c:v>128</c:v>
                </c:pt>
                <c:pt idx="557">
                  <c:v>64</c:v>
                </c:pt>
                <c:pt idx="558">
                  <c:v>256</c:v>
                </c:pt>
                <c:pt idx="559">
                  <c:v>512</c:v>
                </c:pt>
                <c:pt idx="560">
                  <c:v>512</c:v>
                </c:pt>
                <c:pt idx="561">
                  <c:v>512</c:v>
                </c:pt>
                <c:pt idx="562">
                  <c:v>64</c:v>
                </c:pt>
                <c:pt idx="563">
                  <c:v>64</c:v>
                </c:pt>
                <c:pt idx="564">
                  <c:v>64</c:v>
                </c:pt>
                <c:pt idx="565">
                  <c:v>512</c:v>
                </c:pt>
                <c:pt idx="566">
                  <c:v>64</c:v>
                </c:pt>
                <c:pt idx="567">
                  <c:v>256</c:v>
                </c:pt>
                <c:pt idx="568">
                  <c:v>64</c:v>
                </c:pt>
                <c:pt idx="569">
                  <c:v>64</c:v>
                </c:pt>
                <c:pt idx="570">
                  <c:v>64</c:v>
                </c:pt>
                <c:pt idx="571">
                  <c:v>512</c:v>
                </c:pt>
                <c:pt idx="572">
                  <c:v>256</c:v>
                </c:pt>
                <c:pt idx="573">
                  <c:v>256</c:v>
                </c:pt>
                <c:pt idx="574">
                  <c:v>64</c:v>
                </c:pt>
                <c:pt idx="575">
                  <c:v>64</c:v>
                </c:pt>
                <c:pt idx="576">
                  <c:v>512</c:v>
                </c:pt>
                <c:pt idx="577">
                  <c:v>512</c:v>
                </c:pt>
                <c:pt idx="578">
                  <c:v>512</c:v>
                </c:pt>
                <c:pt idx="579">
                  <c:v>512</c:v>
                </c:pt>
                <c:pt idx="580">
                  <c:v>128</c:v>
                </c:pt>
                <c:pt idx="581">
                  <c:v>512</c:v>
                </c:pt>
                <c:pt idx="582">
                  <c:v>256</c:v>
                </c:pt>
                <c:pt idx="583">
                  <c:v>128</c:v>
                </c:pt>
                <c:pt idx="584">
                  <c:v>128</c:v>
                </c:pt>
                <c:pt idx="585">
                  <c:v>512</c:v>
                </c:pt>
                <c:pt idx="586">
                  <c:v>512</c:v>
                </c:pt>
                <c:pt idx="587">
                  <c:v>128</c:v>
                </c:pt>
                <c:pt idx="588">
                  <c:v>64</c:v>
                </c:pt>
                <c:pt idx="589">
                  <c:v>512</c:v>
                </c:pt>
                <c:pt idx="590">
                  <c:v>128</c:v>
                </c:pt>
                <c:pt idx="591">
                  <c:v>512</c:v>
                </c:pt>
                <c:pt idx="592">
                  <c:v>512</c:v>
                </c:pt>
                <c:pt idx="593">
                  <c:v>512</c:v>
                </c:pt>
                <c:pt idx="594">
                  <c:v>64</c:v>
                </c:pt>
                <c:pt idx="595">
                  <c:v>512</c:v>
                </c:pt>
                <c:pt idx="596">
                  <c:v>64</c:v>
                </c:pt>
                <c:pt idx="597">
                  <c:v>256</c:v>
                </c:pt>
                <c:pt idx="598">
                  <c:v>256</c:v>
                </c:pt>
                <c:pt idx="599">
                  <c:v>64</c:v>
                </c:pt>
                <c:pt idx="600">
                  <c:v>64</c:v>
                </c:pt>
                <c:pt idx="601">
                  <c:v>64</c:v>
                </c:pt>
                <c:pt idx="602">
                  <c:v>64</c:v>
                </c:pt>
                <c:pt idx="603">
                  <c:v>256</c:v>
                </c:pt>
                <c:pt idx="604">
                  <c:v>64</c:v>
                </c:pt>
                <c:pt idx="605">
                  <c:v>512</c:v>
                </c:pt>
                <c:pt idx="606">
                  <c:v>128</c:v>
                </c:pt>
                <c:pt idx="607">
                  <c:v>512</c:v>
                </c:pt>
                <c:pt idx="608">
                  <c:v>128</c:v>
                </c:pt>
                <c:pt idx="609">
                  <c:v>128</c:v>
                </c:pt>
                <c:pt idx="610">
                  <c:v>64</c:v>
                </c:pt>
                <c:pt idx="611">
                  <c:v>64</c:v>
                </c:pt>
                <c:pt idx="612">
                  <c:v>256</c:v>
                </c:pt>
                <c:pt idx="613">
                  <c:v>64</c:v>
                </c:pt>
                <c:pt idx="614">
                  <c:v>256</c:v>
                </c:pt>
                <c:pt idx="615">
                  <c:v>256</c:v>
                </c:pt>
                <c:pt idx="616">
                  <c:v>64</c:v>
                </c:pt>
                <c:pt idx="617">
                  <c:v>128</c:v>
                </c:pt>
                <c:pt idx="618">
                  <c:v>512</c:v>
                </c:pt>
                <c:pt idx="619">
                  <c:v>256</c:v>
                </c:pt>
                <c:pt idx="620">
                  <c:v>128</c:v>
                </c:pt>
                <c:pt idx="621">
                  <c:v>512</c:v>
                </c:pt>
                <c:pt idx="622">
                  <c:v>64</c:v>
                </c:pt>
                <c:pt idx="623">
                  <c:v>256</c:v>
                </c:pt>
                <c:pt idx="624">
                  <c:v>512</c:v>
                </c:pt>
                <c:pt idx="625">
                  <c:v>128</c:v>
                </c:pt>
                <c:pt idx="626">
                  <c:v>128</c:v>
                </c:pt>
                <c:pt idx="627">
                  <c:v>256</c:v>
                </c:pt>
                <c:pt idx="628">
                  <c:v>64</c:v>
                </c:pt>
                <c:pt idx="629">
                  <c:v>64</c:v>
                </c:pt>
                <c:pt idx="630">
                  <c:v>512</c:v>
                </c:pt>
                <c:pt idx="631">
                  <c:v>256</c:v>
                </c:pt>
                <c:pt idx="632">
                  <c:v>64</c:v>
                </c:pt>
                <c:pt idx="633">
                  <c:v>128</c:v>
                </c:pt>
                <c:pt idx="634">
                  <c:v>128</c:v>
                </c:pt>
                <c:pt idx="635">
                  <c:v>64</c:v>
                </c:pt>
                <c:pt idx="636">
                  <c:v>256</c:v>
                </c:pt>
                <c:pt idx="637">
                  <c:v>256</c:v>
                </c:pt>
                <c:pt idx="638">
                  <c:v>64</c:v>
                </c:pt>
                <c:pt idx="639">
                  <c:v>256</c:v>
                </c:pt>
                <c:pt idx="640">
                  <c:v>128</c:v>
                </c:pt>
                <c:pt idx="641">
                  <c:v>128</c:v>
                </c:pt>
                <c:pt idx="642">
                  <c:v>256</c:v>
                </c:pt>
                <c:pt idx="643">
                  <c:v>512</c:v>
                </c:pt>
                <c:pt idx="644">
                  <c:v>512</c:v>
                </c:pt>
                <c:pt idx="645">
                  <c:v>128</c:v>
                </c:pt>
                <c:pt idx="646">
                  <c:v>256</c:v>
                </c:pt>
                <c:pt idx="647">
                  <c:v>512</c:v>
                </c:pt>
                <c:pt idx="648">
                  <c:v>256</c:v>
                </c:pt>
                <c:pt idx="649">
                  <c:v>256</c:v>
                </c:pt>
                <c:pt idx="650">
                  <c:v>256</c:v>
                </c:pt>
                <c:pt idx="651">
                  <c:v>128</c:v>
                </c:pt>
                <c:pt idx="652">
                  <c:v>256</c:v>
                </c:pt>
                <c:pt idx="653">
                  <c:v>64</c:v>
                </c:pt>
                <c:pt idx="654">
                  <c:v>512</c:v>
                </c:pt>
                <c:pt idx="655">
                  <c:v>256</c:v>
                </c:pt>
                <c:pt idx="656">
                  <c:v>512</c:v>
                </c:pt>
                <c:pt idx="657">
                  <c:v>256</c:v>
                </c:pt>
                <c:pt idx="658">
                  <c:v>256</c:v>
                </c:pt>
                <c:pt idx="659">
                  <c:v>512</c:v>
                </c:pt>
                <c:pt idx="660">
                  <c:v>64</c:v>
                </c:pt>
                <c:pt idx="661">
                  <c:v>256</c:v>
                </c:pt>
                <c:pt idx="662">
                  <c:v>512</c:v>
                </c:pt>
                <c:pt idx="663">
                  <c:v>128</c:v>
                </c:pt>
                <c:pt idx="664">
                  <c:v>512</c:v>
                </c:pt>
                <c:pt idx="665">
                  <c:v>256</c:v>
                </c:pt>
                <c:pt idx="666">
                  <c:v>256</c:v>
                </c:pt>
                <c:pt idx="667">
                  <c:v>64</c:v>
                </c:pt>
                <c:pt idx="668">
                  <c:v>128</c:v>
                </c:pt>
                <c:pt idx="669">
                  <c:v>64</c:v>
                </c:pt>
                <c:pt idx="670">
                  <c:v>64</c:v>
                </c:pt>
                <c:pt idx="671">
                  <c:v>256</c:v>
                </c:pt>
                <c:pt idx="672">
                  <c:v>128</c:v>
                </c:pt>
                <c:pt idx="673">
                  <c:v>64</c:v>
                </c:pt>
                <c:pt idx="674">
                  <c:v>256</c:v>
                </c:pt>
                <c:pt idx="675">
                  <c:v>128</c:v>
                </c:pt>
                <c:pt idx="676">
                  <c:v>256</c:v>
                </c:pt>
                <c:pt idx="677">
                  <c:v>512</c:v>
                </c:pt>
                <c:pt idx="678">
                  <c:v>512</c:v>
                </c:pt>
                <c:pt idx="679">
                  <c:v>64</c:v>
                </c:pt>
                <c:pt idx="680">
                  <c:v>256</c:v>
                </c:pt>
                <c:pt idx="681">
                  <c:v>128</c:v>
                </c:pt>
                <c:pt idx="682">
                  <c:v>128</c:v>
                </c:pt>
                <c:pt idx="683">
                  <c:v>512</c:v>
                </c:pt>
                <c:pt idx="684">
                  <c:v>128</c:v>
                </c:pt>
                <c:pt idx="685">
                  <c:v>128</c:v>
                </c:pt>
                <c:pt idx="686">
                  <c:v>256</c:v>
                </c:pt>
                <c:pt idx="687">
                  <c:v>128</c:v>
                </c:pt>
                <c:pt idx="688">
                  <c:v>128</c:v>
                </c:pt>
                <c:pt idx="689">
                  <c:v>256</c:v>
                </c:pt>
                <c:pt idx="690">
                  <c:v>128</c:v>
                </c:pt>
                <c:pt idx="691">
                  <c:v>256</c:v>
                </c:pt>
                <c:pt idx="692">
                  <c:v>256</c:v>
                </c:pt>
                <c:pt idx="693">
                  <c:v>256</c:v>
                </c:pt>
                <c:pt idx="694">
                  <c:v>128</c:v>
                </c:pt>
                <c:pt idx="695">
                  <c:v>128</c:v>
                </c:pt>
                <c:pt idx="696">
                  <c:v>512</c:v>
                </c:pt>
                <c:pt idx="697">
                  <c:v>128</c:v>
                </c:pt>
                <c:pt idx="698">
                  <c:v>128</c:v>
                </c:pt>
                <c:pt idx="699">
                  <c:v>256</c:v>
                </c:pt>
                <c:pt idx="700">
                  <c:v>64</c:v>
                </c:pt>
                <c:pt idx="701">
                  <c:v>128</c:v>
                </c:pt>
                <c:pt idx="702">
                  <c:v>128</c:v>
                </c:pt>
                <c:pt idx="703">
                  <c:v>128</c:v>
                </c:pt>
                <c:pt idx="704">
                  <c:v>128</c:v>
                </c:pt>
                <c:pt idx="705">
                  <c:v>64</c:v>
                </c:pt>
                <c:pt idx="706">
                  <c:v>512</c:v>
                </c:pt>
                <c:pt idx="707">
                  <c:v>128</c:v>
                </c:pt>
                <c:pt idx="708">
                  <c:v>512</c:v>
                </c:pt>
                <c:pt idx="709">
                  <c:v>64</c:v>
                </c:pt>
                <c:pt idx="710">
                  <c:v>256</c:v>
                </c:pt>
                <c:pt idx="711">
                  <c:v>512</c:v>
                </c:pt>
                <c:pt idx="712">
                  <c:v>64</c:v>
                </c:pt>
                <c:pt idx="713">
                  <c:v>128</c:v>
                </c:pt>
                <c:pt idx="714">
                  <c:v>128</c:v>
                </c:pt>
                <c:pt idx="715">
                  <c:v>512</c:v>
                </c:pt>
                <c:pt idx="716">
                  <c:v>64</c:v>
                </c:pt>
                <c:pt idx="717">
                  <c:v>128</c:v>
                </c:pt>
                <c:pt idx="718">
                  <c:v>128</c:v>
                </c:pt>
                <c:pt idx="719">
                  <c:v>128</c:v>
                </c:pt>
                <c:pt idx="720">
                  <c:v>256</c:v>
                </c:pt>
                <c:pt idx="721">
                  <c:v>128</c:v>
                </c:pt>
                <c:pt idx="722">
                  <c:v>512</c:v>
                </c:pt>
                <c:pt idx="723">
                  <c:v>512</c:v>
                </c:pt>
                <c:pt idx="724">
                  <c:v>512</c:v>
                </c:pt>
                <c:pt idx="725">
                  <c:v>128</c:v>
                </c:pt>
                <c:pt idx="726">
                  <c:v>128</c:v>
                </c:pt>
                <c:pt idx="727">
                  <c:v>256</c:v>
                </c:pt>
                <c:pt idx="728">
                  <c:v>256</c:v>
                </c:pt>
                <c:pt idx="729">
                  <c:v>128</c:v>
                </c:pt>
                <c:pt idx="730">
                  <c:v>512</c:v>
                </c:pt>
                <c:pt idx="731">
                  <c:v>128</c:v>
                </c:pt>
                <c:pt idx="732">
                  <c:v>64</c:v>
                </c:pt>
                <c:pt idx="733">
                  <c:v>64</c:v>
                </c:pt>
                <c:pt idx="734">
                  <c:v>512</c:v>
                </c:pt>
                <c:pt idx="735">
                  <c:v>128</c:v>
                </c:pt>
                <c:pt idx="736">
                  <c:v>256</c:v>
                </c:pt>
                <c:pt idx="737">
                  <c:v>256</c:v>
                </c:pt>
                <c:pt idx="738">
                  <c:v>512</c:v>
                </c:pt>
                <c:pt idx="739">
                  <c:v>512</c:v>
                </c:pt>
                <c:pt idx="740">
                  <c:v>512</c:v>
                </c:pt>
                <c:pt idx="741">
                  <c:v>512</c:v>
                </c:pt>
                <c:pt idx="742">
                  <c:v>128</c:v>
                </c:pt>
                <c:pt idx="743">
                  <c:v>128</c:v>
                </c:pt>
                <c:pt idx="744">
                  <c:v>64</c:v>
                </c:pt>
                <c:pt idx="745">
                  <c:v>512</c:v>
                </c:pt>
                <c:pt idx="746">
                  <c:v>256</c:v>
                </c:pt>
                <c:pt idx="747">
                  <c:v>64</c:v>
                </c:pt>
                <c:pt idx="748">
                  <c:v>256</c:v>
                </c:pt>
                <c:pt idx="749">
                  <c:v>512</c:v>
                </c:pt>
                <c:pt idx="750">
                  <c:v>512</c:v>
                </c:pt>
                <c:pt idx="751">
                  <c:v>512</c:v>
                </c:pt>
                <c:pt idx="752">
                  <c:v>256</c:v>
                </c:pt>
                <c:pt idx="753">
                  <c:v>256</c:v>
                </c:pt>
                <c:pt idx="754">
                  <c:v>128</c:v>
                </c:pt>
                <c:pt idx="755">
                  <c:v>128</c:v>
                </c:pt>
                <c:pt idx="756">
                  <c:v>64</c:v>
                </c:pt>
                <c:pt idx="757">
                  <c:v>256</c:v>
                </c:pt>
                <c:pt idx="758">
                  <c:v>512</c:v>
                </c:pt>
                <c:pt idx="759">
                  <c:v>256</c:v>
                </c:pt>
                <c:pt idx="760">
                  <c:v>128</c:v>
                </c:pt>
                <c:pt idx="761">
                  <c:v>64</c:v>
                </c:pt>
                <c:pt idx="762">
                  <c:v>64</c:v>
                </c:pt>
                <c:pt idx="763">
                  <c:v>64</c:v>
                </c:pt>
                <c:pt idx="764">
                  <c:v>64</c:v>
                </c:pt>
                <c:pt idx="765">
                  <c:v>128</c:v>
                </c:pt>
                <c:pt idx="766">
                  <c:v>64</c:v>
                </c:pt>
                <c:pt idx="767">
                  <c:v>512</c:v>
                </c:pt>
                <c:pt idx="768">
                  <c:v>256</c:v>
                </c:pt>
                <c:pt idx="769">
                  <c:v>64</c:v>
                </c:pt>
                <c:pt idx="770">
                  <c:v>512</c:v>
                </c:pt>
                <c:pt idx="771">
                  <c:v>128</c:v>
                </c:pt>
                <c:pt idx="772">
                  <c:v>64</c:v>
                </c:pt>
                <c:pt idx="773">
                  <c:v>512</c:v>
                </c:pt>
                <c:pt idx="774">
                  <c:v>64</c:v>
                </c:pt>
                <c:pt idx="775">
                  <c:v>512</c:v>
                </c:pt>
                <c:pt idx="776">
                  <c:v>512</c:v>
                </c:pt>
                <c:pt idx="777">
                  <c:v>512</c:v>
                </c:pt>
                <c:pt idx="778">
                  <c:v>64</c:v>
                </c:pt>
                <c:pt idx="779">
                  <c:v>256</c:v>
                </c:pt>
                <c:pt idx="780">
                  <c:v>256</c:v>
                </c:pt>
                <c:pt idx="781">
                  <c:v>64</c:v>
                </c:pt>
                <c:pt idx="782">
                  <c:v>256</c:v>
                </c:pt>
                <c:pt idx="783">
                  <c:v>512</c:v>
                </c:pt>
                <c:pt idx="784">
                  <c:v>128</c:v>
                </c:pt>
                <c:pt idx="785">
                  <c:v>256</c:v>
                </c:pt>
                <c:pt idx="786">
                  <c:v>512</c:v>
                </c:pt>
                <c:pt idx="787">
                  <c:v>64</c:v>
                </c:pt>
                <c:pt idx="788">
                  <c:v>512</c:v>
                </c:pt>
                <c:pt idx="789">
                  <c:v>512</c:v>
                </c:pt>
                <c:pt idx="790">
                  <c:v>256</c:v>
                </c:pt>
                <c:pt idx="791">
                  <c:v>128</c:v>
                </c:pt>
                <c:pt idx="792">
                  <c:v>64</c:v>
                </c:pt>
                <c:pt idx="793">
                  <c:v>64</c:v>
                </c:pt>
                <c:pt idx="794">
                  <c:v>64</c:v>
                </c:pt>
                <c:pt idx="795">
                  <c:v>256</c:v>
                </c:pt>
                <c:pt idx="796">
                  <c:v>256</c:v>
                </c:pt>
                <c:pt idx="797">
                  <c:v>64</c:v>
                </c:pt>
                <c:pt idx="798">
                  <c:v>256</c:v>
                </c:pt>
                <c:pt idx="799">
                  <c:v>512</c:v>
                </c:pt>
                <c:pt idx="800">
                  <c:v>128</c:v>
                </c:pt>
                <c:pt idx="801">
                  <c:v>512</c:v>
                </c:pt>
                <c:pt idx="802">
                  <c:v>128</c:v>
                </c:pt>
                <c:pt idx="803">
                  <c:v>128</c:v>
                </c:pt>
                <c:pt idx="804">
                  <c:v>128</c:v>
                </c:pt>
                <c:pt idx="805">
                  <c:v>128</c:v>
                </c:pt>
                <c:pt idx="806">
                  <c:v>512</c:v>
                </c:pt>
                <c:pt idx="807">
                  <c:v>128</c:v>
                </c:pt>
                <c:pt idx="808">
                  <c:v>128</c:v>
                </c:pt>
                <c:pt idx="809">
                  <c:v>512</c:v>
                </c:pt>
                <c:pt idx="810">
                  <c:v>128</c:v>
                </c:pt>
                <c:pt idx="811">
                  <c:v>512</c:v>
                </c:pt>
                <c:pt idx="812">
                  <c:v>512</c:v>
                </c:pt>
                <c:pt idx="813">
                  <c:v>256</c:v>
                </c:pt>
                <c:pt idx="814">
                  <c:v>128</c:v>
                </c:pt>
                <c:pt idx="815">
                  <c:v>512</c:v>
                </c:pt>
                <c:pt idx="816">
                  <c:v>64</c:v>
                </c:pt>
                <c:pt idx="817">
                  <c:v>64</c:v>
                </c:pt>
                <c:pt idx="818">
                  <c:v>512</c:v>
                </c:pt>
                <c:pt idx="819">
                  <c:v>128</c:v>
                </c:pt>
                <c:pt idx="820">
                  <c:v>256</c:v>
                </c:pt>
                <c:pt idx="821">
                  <c:v>128</c:v>
                </c:pt>
                <c:pt idx="822">
                  <c:v>256</c:v>
                </c:pt>
                <c:pt idx="823">
                  <c:v>512</c:v>
                </c:pt>
                <c:pt idx="824">
                  <c:v>128</c:v>
                </c:pt>
                <c:pt idx="825">
                  <c:v>256</c:v>
                </c:pt>
                <c:pt idx="826">
                  <c:v>128</c:v>
                </c:pt>
                <c:pt idx="827">
                  <c:v>256</c:v>
                </c:pt>
                <c:pt idx="828">
                  <c:v>64</c:v>
                </c:pt>
                <c:pt idx="829">
                  <c:v>128</c:v>
                </c:pt>
                <c:pt idx="830">
                  <c:v>512</c:v>
                </c:pt>
                <c:pt idx="831">
                  <c:v>128</c:v>
                </c:pt>
                <c:pt idx="832">
                  <c:v>512</c:v>
                </c:pt>
                <c:pt idx="833">
                  <c:v>256</c:v>
                </c:pt>
                <c:pt idx="834">
                  <c:v>64</c:v>
                </c:pt>
                <c:pt idx="835">
                  <c:v>128</c:v>
                </c:pt>
                <c:pt idx="836">
                  <c:v>64</c:v>
                </c:pt>
                <c:pt idx="837">
                  <c:v>256</c:v>
                </c:pt>
                <c:pt idx="838">
                  <c:v>128</c:v>
                </c:pt>
                <c:pt idx="839">
                  <c:v>512</c:v>
                </c:pt>
                <c:pt idx="840">
                  <c:v>512</c:v>
                </c:pt>
                <c:pt idx="841">
                  <c:v>256</c:v>
                </c:pt>
                <c:pt idx="842">
                  <c:v>128</c:v>
                </c:pt>
                <c:pt idx="843">
                  <c:v>256</c:v>
                </c:pt>
                <c:pt idx="844">
                  <c:v>64</c:v>
                </c:pt>
                <c:pt idx="845">
                  <c:v>256</c:v>
                </c:pt>
                <c:pt idx="846">
                  <c:v>512</c:v>
                </c:pt>
                <c:pt idx="847">
                  <c:v>128</c:v>
                </c:pt>
                <c:pt idx="848">
                  <c:v>512</c:v>
                </c:pt>
                <c:pt idx="849">
                  <c:v>128</c:v>
                </c:pt>
                <c:pt idx="850">
                  <c:v>256</c:v>
                </c:pt>
                <c:pt idx="851">
                  <c:v>128</c:v>
                </c:pt>
                <c:pt idx="852">
                  <c:v>64</c:v>
                </c:pt>
                <c:pt idx="853">
                  <c:v>256</c:v>
                </c:pt>
                <c:pt idx="854">
                  <c:v>256</c:v>
                </c:pt>
                <c:pt idx="855">
                  <c:v>64</c:v>
                </c:pt>
                <c:pt idx="856">
                  <c:v>512</c:v>
                </c:pt>
                <c:pt idx="857">
                  <c:v>512</c:v>
                </c:pt>
                <c:pt idx="858">
                  <c:v>64</c:v>
                </c:pt>
                <c:pt idx="859">
                  <c:v>256</c:v>
                </c:pt>
                <c:pt idx="860">
                  <c:v>128</c:v>
                </c:pt>
                <c:pt idx="861">
                  <c:v>256</c:v>
                </c:pt>
                <c:pt idx="862">
                  <c:v>128</c:v>
                </c:pt>
                <c:pt idx="863">
                  <c:v>128</c:v>
                </c:pt>
                <c:pt idx="864">
                  <c:v>128</c:v>
                </c:pt>
                <c:pt idx="865">
                  <c:v>64</c:v>
                </c:pt>
                <c:pt idx="866">
                  <c:v>256</c:v>
                </c:pt>
                <c:pt idx="867">
                  <c:v>256</c:v>
                </c:pt>
                <c:pt idx="868">
                  <c:v>128</c:v>
                </c:pt>
                <c:pt idx="869">
                  <c:v>128</c:v>
                </c:pt>
                <c:pt idx="870">
                  <c:v>64</c:v>
                </c:pt>
                <c:pt idx="871">
                  <c:v>64</c:v>
                </c:pt>
                <c:pt idx="872">
                  <c:v>512</c:v>
                </c:pt>
                <c:pt idx="873">
                  <c:v>256</c:v>
                </c:pt>
                <c:pt idx="874">
                  <c:v>512</c:v>
                </c:pt>
                <c:pt idx="875">
                  <c:v>64</c:v>
                </c:pt>
                <c:pt idx="876">
                  <c:v>256</c:v>
                </c:pt>
                <c:pt idx="877">
                  <c:v>64</c:v>
                </c:pt>
                <c:pt idx="878">
                  <c:v>512</c:v>
                </c:pt>
                <c:pt idx="879">
                  <c:v>128</c:v>
                </c:pt>
                <c:pt idx="880">
                  <c:v>64</c:v>
                </c:pt>
                <c:pt idx="881">
                  <c:v>512</c:v>
                </c:pt>
                <c:pt idx="882">
                  <c:v>64</c:v>
                </c:pt>
                <c:pt idx="883">
                  <c:v>64</c:v>
                </c:pt>
                <c:pt idx="884">
                  <c:v>512</c:v>
                </c:pt>
                <c:pt idx="885">
                  <c:v>128</c:v>
                </c:pt>
                <c:pt idx="886">
                  <c:v>256</c:v>
                </c:pt>
                <c:pt idx="887">
                  <c:v>256</c:v>
                </c:pt>
                <c:pt idx="888">
                  <c:v>64</c:v>
                </c:pt>
                <c:pt idx="889">
                  <c:v>128</c:v>
                </c:pt>
                <c:pt idx="890">
                  <c:v>64</c:v>
                </c:pt>
                <c:pt idx="891">
                  <c:v>64</c:v>
                </c:pt>
                <c:pt idx="892">
                  <c:v>256</c:v>
                </c:pt>
                <c:pt idx="893">
                  <c:v>128</c:v>
                </c:pt>
                <c:pt idx="894">
                  <c:v>512</c:v>
                </c:pt>
                <c:pt idx="895">
                  <c:v>64</c:v>
                </c:pt>
                <c:pt idx="896">
                  <c:v>256</c:v>
                </c:pt>
                <c:pt idx="897">
                  <c:v>64</c:v>
                </c:pt>
                <c:pt idx="898">
                  <c:v>128</c:v>
                </c:pt>
                <c:pt idx="899">
                  <c:v>128</c:v>
                </c:pt>
                <c:pt idx="900">
                  <c:v>64</c:v>
                </c:pt>
                <c:pt idx="901">
                  <c:v>512</c:v>
                </c:pt>
                <c:pt idx="902">
                  <c:v>128</c:v>
                </c:pt>
                <c:pt idx="903">
                  <c:v>256</c:v>
                </c:pt>
                <c:pt idx="904">
                  <c:v>256</c:v>
                </c:pt>
                <c:pt idx="905">
                  <c:v>128</c:v>
                </c:pt>
                <c:pt idx="906">
                  <c:v>256</c:v>
                </c:pt>
                <c:pt idx="907">
                  <c:v>512</c:v>
                </c:pt>
                <c:pt idx="908">
                  <c:v>256</c:v>
                </c:pt>
                <c:pt idx="909">
                  <c:v>512</c:v>
                </c:pt>
                <c:pt idx="910">
                  <c:v>512</c:v>
                </c:pt>
                <c:pt idx="911">
                  <c:v>256</c:v>
                </c:pt>
                <c:pt idx="912">
                  <c:v>512</c:v>
                </c:pt>
                <c:pt idx="913">
                  <c:v>64</c:v>
                </c:pt>
                <c:pt idx="914">
                  <c:v>256</c:v>
                </c:pt>
                <c:pt idx="915">
                  <c:v>128</c:v>
                </c:pt>
                <c:pt idx="916">
                  <c:v>512</c:v>
                </c:pt>
                <c:pt idx="917">
                  <c:v>64</c:v>
                </c:pt>
                <c:pt idx="918">
                  <c:v>64</c:v>
                </c:pt>
                <c:pt idx="919">
                  <c:v>128</c:v>
                </c:pt>
                <c:pt idx="920">
                  <c:v>512</c:v>
                </c:pt>
                <c:pt idx="921">
                  <c:v>128</c:v>
                </c:pt>
                <c:pt idx="922">
                  <c:v>512</c:v>
                </c:pt>
                <c:pt idx="923">
                  <c:v>64</c:v>
                </c:pt>
                <c:pt idx="924">
                  <c:v>128</c:v>
                </c:pt>
                <c:pt idx="925">
                  <c:v>256</c:v>
                </c:pt>
                <c:pt idx="926">
                  <c:v>256</c:v>
                </c:pt>
                <c:pt idx="927">
                  <c:v>256</c:v>
                </c:pt>
                <c:pt idx="928">
                  <c:v>512</c:v>
                </c:pt>
                <c:pt idx="929">
                  <c:v>64</c:v>
                </c:pt>
                <c:pt idx="930">
                  <c:v>256</c:v>
                </c:pt>
                <c:pt idx="931">
                  <c:v>256</c:v>
                </c:pt>
                <c:pt idx="932">
                  <c:v>64</c:v>
                </c:pt>
                <c:pt idx="933">
                  <c:v>64</c:v>
                </c:pt>
                <c:pt idx="934">
                  <c:v>256</c:v>
                </c:pt>
                <c:pt idx="935">
                  <c:v>64</c:v>
                </c:pt>
                <c:pt idx="936">
                  <c:v>64</c:v>
                </c:pt>
                <c:pt idx="937">
                  <c:v>512</c:v>
                </c:pt>
                <c:pt idx="938">
                  <c:v>256</c:v>
                </c:pt>
                <c:pt idx="939">
                  <c:v>512</c:v>
                </c:pt>
                <c:pt idx="940">
                  <c:v>512</c:v>
                </c:pt>
                <c:pt idx="941">
                  <c:v>64</c:v>
                </c:pt>
                <c:pt idx="942">
                  <c:v>512</c:v>
                </c:pt>
                <c:pt idx="943">
                  <c:v>64</c:v>
                </c:pt>
                <c:pt idx="944">
                  <c:v>64</c:v>
                </c:pt>
                <c:pt idx="945">
                  <c:v>128</c:v>
                </c:pt>
                <c:pt idx="946">
                  <c:v>512</c:v>
                </c:pt>
                <c:pt idx="947">
                  <c:v>64</c:v>
                </c:pt>
                <c:pt idx="948">
                  <c:v>512</c:v>
                </c:pt>
                <c:pt idx="949">
                  <c:v>256</c:v>
                </c:pt>
                <c:pt idx="950">
                  <c:v>512</c:v>
                </c:pt>
                <c:pt idx="951">
                  <c:v>64</c:v>
                </c:pt>
                <c:pt idx="952">
                  <c:v>128</c:v>
                </c:pt>
                <c:pt idx="953">
                  <c:v>256</c:v>
                </c:pt>
                <c:pt idx="954">
                  <c:v>512</c:v>
                </c:pt>
                <c:pt idx="955">
                  <c:v>64</c:v>
                </c:pt>
                <c:pt idx="956">
                  <c:v>256</c:v>
                </c:pt>
                <c:pt idx="957">
                  <c:v>256</c:v>
                </c:pt>
                <c:pt idx="958">
                  <c:v>128</c:v>
                </c:pt>
                <c:pt idx="959">
                  <c:v>512</c:v>
                </c:pt>
                <c:pt idx="960">
                  <c:v>256</c:v>
                </c:pt>
                <c:pt idx="961">
                  <c:v>128</c:v>
                </c:pt>
                <c:pt idx="962">
                  <c:v>512</c:v>
                </c:pt>
                <c:pt idx="963">
                  <c:v>512</c:v>
                </c:pt>
                <c:pt idx="964">
                  <c:v>128</c:v>
                </c:pt>
                <c:pt idx="965">
                  <c:v>128</c:v>
                </c:pt>
                <c:pt idx="966">
                  <c:v>512</c:v>
                </c:pt>
                <c:pt idx="967">
                  <c:v>64</c:v>
                </c:pt>
                <c:pt idx="968">
                  <c:v>64</c:v>
                </c:pt>
                <c:pt idx="969">
                  <c:v>128</c:v>
                </c:pt>
                <c:pt idx="970">
                  <c:v>256</c:v>
                </c:pt>
                <c:pt idx="971">
                  <c:v>64</c:v>
                </c:pt>
                <c:pt idx="972">
                  <c:v>128</c:v>
                </c:pt>
                <c:pt idx="973">
                  <c:v>512</c:v>
                </c:pt>
                <c:pt idx="974">
                  <c:v>512</c:v>
                </c:pt>
                <c:pt idx="975">
                  <c:v>64</c:v>
                </c:pt>
                <c:pt idx="976">
                  <c:v>64</c:v>
                </c:pt>
                <c:pt idx="977">
                  <c:v>64</c:v>
                </c:pt>
                <c:pt idx="978">
                  <c:v>256</c:v>
                </c:pt>
                <c:pt idx="979">
                  <c:v>64</c:v>
                </c:pt>
                <c:pt idx="980">
                  <c:v>128</c:v>
                </c:pt>
                <c:pt idx="981">
                  <c:v>512</c:v>
                </c:pt>
                <c:pt idx="982">
                  <c:v>128</c:v>
                </c:pt>
                <c:pt idx="983">
                  <c:v>64</c:v>
                </c:pt>
                <c:pt idx="984">
                  <c:v>256</c:v>
                </c:pt>
                <c:pt idx="985">
                  <c:v>128</c:v>
                </c:pt>
                <c:pt idx="986">
                  <c:v>256</c:v>
                </c:pt>
                <c:pt idx="987">
                  <c:v>512</c:v>
                </c:pt>
                <c:pt idx="988">
                  <c:v>64</c:v>
                </c:pt>
                <c:pt idx="989">
                  <c:v>128</c:v>
                </c:pt>
                <c:pt idx="990">
                  <c:v>64</c:v>
                </c:pt>
                <c:pt idx="991">
                  <c:v>128</c:v>
                </c:pt>
                <c:pt idx="992">
                  <c:v>512</c:v>
                </c:pt>
                <c:pt idx="993">
                  <c:v>512</c:v>
                </c:pt>
                <c:pt idx="994">
                  <c:v>512</c:v>
                </c:pt>
                <c:pt idx="995">
                  <c:v>512</c:v>
                </c:pt>
                <c:pt idx="996">
                  <c:v>128</c:v>
                </c:pt>
                <c:pt idx="997">
                  <c:v>64</c:v>
                </c:pt>
                <c:pt idx="998">
                  <c:v>256</c:v>
                </c:pt>
                <c:pt idx="999">
                  <c:v>64</c:v>
                </c:pt>
              </c:numCache>
            </c:numRef>
          </c:xVal>
          <c:yVal>
            <c:numRef>
              <c:f>Raw_Data!$R$2:$R$1001</c:f>
              <c:numCache>
                <c:formatCode>General</c:formatCode>
                <c:ptCount val="1000"/>
                <c:pt idx="0">
                  <c:v>428</c:v>
                </c:pt>
                <c:pt idx="1">
                  <c:v>589</c:v>
                </c:pt>
                <c:pt idx="2">
                  <c:v>408</c:v>
                </c:pt>
                <c:pt idx="3">
                  <c:v>449</c:v>
                </c:pt>
                <c:pt idx="4">
                  <c:v>745</c:v>
                </c:pt>
                <c:pt idx="5">
                  <c:v>428</c:v>
                </c:pt>
                <c:pt idx="6">
                  <c:v>603</c:v>
                </c:pt>
                <c:pt idx="7">
                  <c:v>604</c:v>
                </c:pt>
                <c:pt idx="8">
                  <c:v>267</c:v>
                </c:pt>
                <c:pt idx="9">
                  <c:v>557</c:v>
                </c:pt>
                <c:pt idx="10">
                  <c:v>539</c:v>
                </c:pt>
                <c:pt idx="11">
                  <c:v>466</c:v>
                </c:pt>
                <c:pt idx="12">
                  <c:v>368</c:v>
                </c:pt>
                <c:pt idx="13">
                  <c:v>567</c:v>
                </c:pt>
                <c:pt idx="14">
                  <c:v>644</c:v>
                </c:pt>
                <c:pt idx="15">
                  <c:v>470</c:v>
                </c:pt>
                <c:pt idx="16">
                  <c:v>257</c:v>
                </c:pt>
                <c:pt idx="17">
                  <c:v>539</c:v>
                </c:pt>
                <c:pt idx="18">
                  <c:v>489</c:v>
                </c:pt>
                <c:pt idx="19">
                  <c:v>439</c:v>
                </c:pt>
                <c:pt idx="20">
                  <c:v>764</c:v>
                </c:pt>
                <c:pt idx="21">
                  <c:v>415</c:v>
                </c:pt>
                <c:pt idx="22">
                  <c:v>789</c:v>
                </c:pt>
                <c:pt idx="23">
                  <c:v>639</c:v>
                </c:pt>
                <c:pt idx="24">
                  <c:v>789</c:v>
                </c:pt>
                <c:pt idx="25">
                  <c:v>289</c:v>
                </c:pt>
                <c:pt idx="26">
                  <c:v>289</c:v>
                </c:pt>
                <c:pt idx="27">
                  <c:v>487</c:v>
                </c:pt>
                <c:pt idx="28">
                  <c:v>427</c:v>
                </c:pt>
                <c:pt idx="29">
                  <c:v>560</c:v>
                </c:pt>
                <c:pt idx="30">
                  <c:v>663</c:v>
                </c:pt>
                <c:pt idx="31">
                  <c:v>749</c:v>
                </c:pt>
                <c:pt idx="32">
                  <c:v>493</c:v>
                </c:pt>
                <c:pt idx="33">
                  <c:v>338</c:v>
                </c:pt>
                <c:pt idx="34">
                  <c:v>440</c:v>
                </c:pt>
                <c:pt idx="35">
                  <c:v>824</c:v>
                </c:pt>
                <c:pt idx="36">
                  <c:v>468</c:v>
                </c:pt>
                <c:pt idx="37">
                  <c:v>352</c:v>
                </c:pt>
                <c:pt idx="38">
                  <c:v>561</c:v>
                </c:pt>
                <c:pt idx="39">
                  <c:v>466</c:v>
                </c:pt>
                <c:pt idx="40">
                  <c:v>323</c:v>
                </c:pt>
                <c:pt idx="41">
                  <c:v>822</c:v>
                </c:pt>
                <c:pt idx="42">
                  <c:v>451</c:v>
                </c:pt>
                <c:pt idx="43">
                  <c:v>382</c:v>
                </c:pt>
                <c:pt idx="44">
                  <c:v>282</c:v>
                </c:pt>
                <c:pt idx="45">
                  <c:v>629</c:v>
                </c:pt>
                <c:pt idx="46">
                  <c:v>454</c:v>
                </c:pt>
                <c:pt idx="47">
                  <c:v>389</c:v>
                </c:pt>
                <c:pt idx="48">
                  <c:v>539</c:v>
                </c:pt>
                <c:pt idx="49">
                  <c:v>433</c:v>
                </c:pt>
                <c:pt idx="50">
                  <c:v>447</c:v>
                </c:pt>
                <c:pt idx="51">
                  <c:v>433</c:v>
                </c:pt>
                <c:pt idx="52">
                  <c:v>252</c:v>
                </c:pt>
                <c:pt idx="53">
                  <c:v>576</c:v>
                </c:pt>
                <c:pt idx="54">
                  <c:v>521</c:v>
                </c:pt>
                <c:pt idx="55">
                  <c:v>492</c:v>
                </c:pt>
                <c:pt idx="56">
                  <c:v>750</c:v>
                </c:pt>
                <c:pt idx="57">
                  <c:v>289</c:v>
                </c:pt>
                <c:pt idx="58">
                  <c:v>389</c:v>
                </c:pt>
                <c:pt idx="59">
                  <c:v>497</c:v>
                </c:pt>
                <c:pt idx="60">
                  <c:v>529</c:v>
                </c:pt>
                <c:pt idx="61">
                  <c:v>909</c:v>
                </c:pt>
                <c:pt idx="62">
                  <c:v>462</c:v>
                </c:pt>
                <c:pt idx="63">
                  <c:v>305</c:v>
                </c:pt>
                <c:pt idx="64">
                  <c:v>575</c:v>
                </c:pt>
                <c:pt idx="65">
                  <c:v>262</c:v>
                </c:pt>
                <c:pt idx="66">
                  <c:v>431</c:v>
                </c:pt>
                <c:pt idx="67">
                  <c:v>560</c:v>
                </c:pt>
                <c:pt idx="68">
                  <c:v>620</c:v>
                </c:pt>
                <c:pt idx="69">
                  <c:v>533</c:v>
                </c:pt>
                <c:pt idx="70">
                  <c:v>547</c:v>
                </c:pt>
                <c:pt idx="71">
                  <c:v>476</c:v>
                </c:pt>
                <c:pt idx="72">
                  <c:v>640</c:v>
                </c:pt>
                <c:pt idx="73">
                  <c:v>559</c:v>
                </c:pt>
                <c:pt idx="74">
                  <c:v>591</c:v>
                </c:pt>
                <c:pt idx="75">
                  <c:v>452</c:v>
                </c:pt>
                <c:pt idx="76">
                  <c:v>336</c:v>
                </c:pt>
                <c:pt idx="77">
                  <c:v>490</c:v>
                </c:pt>
                <c:pt idx="78">
                  <c:v>377</c:v>
                </c:pt>
                <c:pt idx="79">
                  <c:v>885</c:v>
                </c:pt>
                <c:pt idx="80">
                  <c:v>425</c:v>
                </c:pt>
                <c:pt idx="81">
                  <c:v>789</c:v>
                </c:pt>
                <c:pt idx="82">
                  <c:v>457</c:v>
                </c:pt>
                <c:pt idx="83">
                  <c:v>513</c:v>
                </c:pt>
                <c:pt idx="84">
                  <c:v>427</c:v>
                </c:pt>
                <c:pt idx="85">
                  <c:v>495</c:v>
                </c:pt>
                <c:pt idx="86">
                  <c:v>724</c:v>
                </c:pt>
                <c:pt idx="87">
                  <c:v>451</c:v>
                </c:pt>
                <c:pt idx="88">
                  <c:v>439</c:v>
                </c:pt>
                <c:pt idx="89">
                  <c:v>316</c:v>
                </c:pt>
                <c:pt idx="90">
                  <c:v>467</c:v>
                </c:pt>
                <c:pt idx="91">
                  <c:v>582</c:v>
                </c:pt>
                <c:pt idx="92">
                  <c:v>272</c:v>
                </c:pt>
                <c:pt idx="93">
                  <c:v>513</c:v>
                </c:pt>
                <c:pt idx="94">
                  <c:v>488</c:v>
                </c:pt>
                <c:pt idx="95">
                  <c:v>689</c:v>
                </c:pt>
                <c:pt idx="96">
                  <c:v>371</c:v>
                </c:pt>
                <c:pt idx="97">
                  <c:v>366</c:v>
                </c:pt>
                <c:pt idx="98">
                  <c:v>448</c:v>
                </c:pt>
                <c:pt idx="99">
                  <c:v>451</c:v>
                </c:pt>
                <c:pt idx="100">
                  <c:v>449</c:v>
                </c:pt>
                <c:pt idx="101">
                  <c:v>589</c:v>
                </c:pt>
                <c:pt idx="102">
                  <c:v>689</c:v>
                </c:pt>
                <c:pt idx="103">
                  <c:v>485</c:v>
                </c:pt>
                <c:pt idx="104">
                  <c:v>339</c:v>
                </c:pt>
                <c:pt idx="105">
                  <c:v>457</c:v>
                </c:pt>
                <c:pt idx="106">
                  <c:v>430</c:v>
                </c:pt>
                <c:pt idx="107">
                  <c:v>490</c:v>
                </c:pt>
                <c:pt idx="108">
                  <c:v>660</c:v>
                </c:pt>
                <c:pt idx="109">
                  <c:v>388</c:v>
                </c:pt>
                <c:pt idx="110">
                  <c:v>577</c:v>
                </c:pt>
                <c:pt idx="111">
                  <c:v>345</c:v>
                </c:pt>
                <c:pt idx="112">
                  <c:v>289</c:v>
                </c:pt>
                <c:pt idx="113">
                  <c:v>557</c:v>
                </c:pt>
                <c:pt idx="114">
                  <c:v>500</c:v>
                </c:pt>
                <c:pt idx="115">
                  <c:v>437</c:v>
                </c:pt>
                <c:pt idx="116">
                  <c:v>395</c:v>
                </c:pt>
                <c:pt idx="117">
                  <c:v>484</c:v>
                </c:pt>
                <c:pt idx="118">
                  <c:v>443</c:v>
                </c:pt>
                <c:pt idx="119">
                  <c:v>732</c:v>
                </c:pt>
                <c:pt idx="120">
                  <c:v>443</c:v>
                </c:pt>
                <c:pt idx="121">
                  <c:v>460</c:v>
                </c:pt>
                <c:pt idx="122">
                  <c:v>456</c:v>
                </c:pt>
                <c:pt idx="123">
                  <c:v>689</c:v>
                </c:pt>
                <c:pt idx="124">
                  <c:v>337</c:v>
                </c:pt>
                <c:pt idx="125">
                  <c:v>371</c:v>
                </c:pt>
                <c:pt idx="126">
                  <c:v>312</c:v>
                </c:pt>
                <c:pt idx="127">
                  <c:v>424</c:v>
                </c:pt>
                <c:pt idx="128">
                  <c:v>757</c:v>
                </c:pt>
                <c:pt idx="129">
                  <c:v>463</c:v>
                </c:pt>
                <c:pt idx="130">
                  <c:v>412</c:v>
                </c:pt>
                <c:pt idx="131">
                  <c:v>486</c:v>
                </c:pt>
                <c:pt idx="132">
                  <c:v>568</c:v>
                </c:pt>
                <c:pt idx="133">
                  <c:v>338</c:v>
                </c:pt>
                <c:pt idx="134">
                  <c:v>296</c:v>
                </c:pt>
                <c:pt idx="135">
                  <c:v>568</c:v>
                </c:pt>
                <c:pt idx="136">
                  <c:v>379</c:v>
                </c:pt>
                <c:pt idx="137">
                  <c:v>464</c:v>
                </c:pt>
                <c:pt idx="138">
                  <c:v>389</c:v>
                </c:pt>
                <c:pt idx="139">
                  <c:v>606</c:v>
                </c:pt>
                <c:pt idx="140">
                  <c:v>538</c:v>
                </c:pt>
                <c:pt idx="141">
                  <c:v>408</c:v>
                </c:pt>
                <c:pt idx="142">
                  <c:v>589</c:v>
                </c:pt>
                <c:pt idx="143">
                  <c:v>489</c:v>
                </c:pt>
                <c:pt idx="144">
                  <c:v>656</c:v>
                </c:pt>
                <c:pt idx="145">
                  <c:v>362</c:v>
                </c:pt>
                <c:pt idx="146">
                  <c:v>313</c:v>
                </c:pt>
                <c:pt idx="147">
                  <c:v>352</c:v>
                </c:pt>
                <c:pt idx="148">
                  <c:v>664</c:v>
                </c:pt>
                <c:pt idx="149">
                  <c:v>515</c:v>
                </c:pt>
                <c:pt idx="150">
                  <c:v>730</c:v>
                </c:pt>
                <c:pt idx="151">
                  <c:v>389</c:v>
                </c:pt>
                <c:pt idx="152">
                  <c:v>446</c:v>
                </c:pt>
                <c:pt idx="153">
                  <c:v>310</c:v>
                </c:pt>
                <c:pt idx="154">
                  <c:v>655</c:v>
                </c:pt>
                <c:pt idx="155">
                  <c:v>693</c:v>
                </c:pt>
                <c:pt idx="156">
                  <c:v>336</c:v>
                </c:pt>
                <c:pt idx="157">
                  <c:v>389</c:v>
                </c:pt>
                <c:pt idx="158">
                  <c:v>617</c:v>
                </c:pt>
                <c:pt idx="159">
                  <c:v>492</c:v>
                </c:pt>
                <c:pt idx="160">
                  <c:v>457</c:v>
                </c:pt>
                <c:pt idx="161">
                  <c:v>506</c:v>
                </c:pt>
                <c:pt idx="162">
                  <c:v>549</c:v>
                </c:pt>
                <c:pt idx="163">
                  <c:v>759</c:v>
                </c:pt>
                <c:pt idx="164">
                  <c:v>530</c:v>
                </c:pt>
                <c:pt idx="165">
                  <c:v>342</c:v>
                </c:pt>
                <c:pt idx="166">
                  <c:v>400</c:v>
                </c:pt>
                <c:pt idx="167">
                  <c:v>251</c:v>
                </c:pt>
                <c:pt idx="168">
                  <c:v>513</c:v>
                </c:pt>
                <c:pt idx="169">
                  <c:v>330</c:v>
                </c:pt>
                <c:pt idx="170">
                  <c:v>951</c:v>
                </c:pt>
                <c:pt idx="171">
                  <c:v>506</c:v>
                </c:pt>
                <c:pt idx="172">
                  <c:v>507</c:v>
                </c:pt>
                <c:pt idx="173">
                  <c:v>728</c:v>
                </c:pt>
                <c:pt idx="174">
                  <c:v>450</c:v>
                </c:pt>
                <c:pt idx="175">
                  <c:v>542</c:v>
                </c:pt>
                <c:pt idx="176">
                  <c:v>483</c:v>
                </c:pt>
                <c:pt idx="177">
                  <c:v>561</c:v>
                </c:pt>
                <c:pt idx="178">
                  <c:v>388</c:v>
                </c:pt>
                <c:pt idx="179">
                  <c:v>453</c:v>
                </c:pt>
                <c:pt idx="180">
                  <c:v>525</c:v>
                </c:pt>
                <c:pt idx="181">
                  <c:v>903</c:v>
                </c:pt>
                <c:pt idx="182">
                  <c:v>589</c:v>
                </c:pt>
                <c:pt idx="183">
                  <c:v>567</c:v>
                </c:pt>
                <c:pt idx="184">
                  <c:v>830</c:v>
                </c:pt>
                <c:pt idx="185">
                  <c:v>364</c:v>
                </c:pt>
                <c:pt idx="186">
                  <c:v>481</c:v>
                </c:pt>
                <c:pt idx="187">
                  <c:v>475</c:v>
                </c:pt>
                <c:pt idx="188">
                  <c:v>448</c:v>
                </c:pt>
                <c:pt idx="189">
                  <c:v>565</c:v>
                </c:pt>
                <c:pt idx="190">
                  <c:v>889</c:v>
                </c:pt>
                <c:pt idx="191">
                  <c:v>260</c:v>
                </c:pt>
                <c:pt idx="192">
                  <c:v>543</c:v>
                </c:pt>
                <c:pt idx="193">
                  <c:v>635</c:v>
                </c:pt>
                <c:pt idx="194">
                  <c:v>398</c:v>
                </c:pt>
                <c:pt idx="195">
                  <c:v>589</c:v>
                </c:pt>
                <c:pt idx="196">
                  <c:v>474</c:v>
                </c:pt>
                <c:pt idx="197">
                  <c:v>589</c:v>
                </c:pt>
                <c:pt idx="198">
                  <c:v>502</c:v>
                </c:pt>
                <c:pt idx="199">
                  <c:v>346</c:v>
                </c:pt>
                <c:pt idx="200">
                  <c:v>752</c:v>
                </c:pt>
                <c:pt idx="201">
                  <c:v>349</c:v>
                </c:pt>
                <c:pt idx="202">
                  <c:v>401</c:v>
                </c:pt>
                <c:pt idx="203">
                  <c:v>628</c:v>
                </c:pt>
                <c:pt idx="204">
                  <c:v>379</c:v>
                </c:pt>
                <c:pt idx="205">
                  <c:v>346</c:v>
                </c:pt>
                <c:pt idx="206">
                  <c:v>437</c:v>
                </c:pt>
                <c:pt idx="207">
                  <c:v>323</c:v>
                </c:pt>
                <c:pt idx="208">
                  <c:v>539</c:v>
                </c:pt>
                <c:pt idx="209">
                  <c:v>489</c:v>
                </c:pt>
                <c:pt idx="210">
                  <c:v>416</c:v>
                </c:pt>
                <c:pt idx="211">
                  <c:v>482</c:v>
                </c:pt>
                <c:pt idx="212">
                  <c:v>447</c:v>
                </c:pt>
                <c:pt idx="213">
                  <c:v>522</c:v>
                </c:pt>
                <c:pt idx="214">
                  <c:v>304</c:v>
                </c:pt>
                <c:pt idx="215">
                  <c:v>539</c:v>
                </c:pt>
                <c:pt idx="216">
                  <c:v>430</c:v>
                </c:pt>
                <c:pt idx="217">
                  <c:v>573</c:v>
                </c:pt>
                <c:pt idx="218">
                  <c:v>565</c:v>
                </c:pt>
                <c:pt idx="219">
                  <c:v>475</c:v>
                </c:pt>
                <c:pt idx="220">
                  <c:v>670</c:v>
                </c:pt>
                <c:pt idx="221">
                  <c:v>289</c:v>
                </c:pt>
                <c:pt idx="222">
                  <c:v>477</c:v>
                </c:pt>
                <c:pt idx="223">
                  <c:v>775</c:v>
                </c:pt>
                <c:pt idx="224">
                  <c:v>290</c:v>
                </c:pt>
                <c:pt idx="225">
                  <c:v>304</c:v>
                </c:pt>
                <c:pt idx="226">
                  <c:v>461</c:v>
                </c:pt>
                <c:pt idx="227">
                  <c:v>589</c:v>
                </c:pt>
                <c:pt idx="228">
                  <c:v>465</c:v>
                </c:pt>
                <c:pt idx="229">
                  <c:v>727</c:v>
                </c:pt>
                <c:pt idx="230">
                  <c:v>540</c:v>
                </c:pt>
                <c:pt idx="231">
                  <c:v>413</c:v>
                </c:pt>
                <c:pt idx="232">
                  <c:v>383</c:v>
                </c:pt>
                <c:pt idx="233">
                  <c:v>289</c:v>
                </c:pt>
                <c:pt idx="234">
                  <c:v>654</c:v>
                </c:pt>
                <c:pt idx="235">
                  <c:v>583</c:v>
                </c:pt>
                <c:pt idx="236">
                  <c:v>485</c:v>
                </c:pt>
                <c:pt idx="237">
                  <c:v>429</c:v>
                </c:pt>
                <c:pt idx="238">
                  <c:v>698</c:v>
                </c:pt>
                <c:pt idx="239">
                  <c:v>401</c:v>
                </c:pt>
                <c:pt idx="240">
                  <c:v>448</c:v>
                </c:pt>
                <c:pt idx="241">
                  <c:v>489</c:v>
                </c:pt>
                <c:pt idx="242">
                  <c:v>440</c:v>
                </c:pt>
                <c:pt idx="243">
                  <c:v>504</c:v>
                </c:pt>
                <c:pt idx="244">
                  <c:v>539</c:v>
                </c:pt>
                <c:pt idx="245">
                  <c:v>589</c:v>
                </c:pt>
                <c:pt idx="246">
                  <c:v>586</c:v>
                </c:pt>
                <c:pt idx="247">
                  <c:v>489</c:v>
                </c:pt>
                <c:pt idx="248">
                  <c:v>559</c:v>
                </c:pt>
                <c:pt idx="249">
                  <c:v>526</c:v>
                </c:pt>
                <c:pt idx="250">
                  <c:v>438</c:v>
                </c:pt>
                <c:pt idx="251">
                  <c:v>486</c:v>
                </c:pt>
                <c:pt idx="252">
                  <c:v>657</c:v>
                </c:pt>
                <c:pt idx="253">
                  <c:v>589</c:v>
                </c:pt>
                <c:pt idx="254">
                  <c:v>568</c:v>
                </c:pt>
                <c:pt idx="255">
                  <c:v>520</c:v>
                </c:pt>
                <c:pt idx="256">
                  <c:v>309</c:v>
                </c:pt>
                <c:pt idx="257">
                  <c:v>439</c:v>
                </c:pt>
                <c:pt idx="258">
                  <c:v>490</c:v>
                </c:pt>
                <c:pt idx="259">
                  <c:v>536</c:v>
                </c:pt>
                <c:pt idx="260">
                  <c:v>388</c:v>
                </c:pt>
                <c:pt idx="261">
                  <c:v>512</c:v>
                </c:pt>
                <c:pt idx="262">
                  <c:v>417</c:v>
                </c:pt>
                <c:pt idx="263">
                  <c:v>581</c:v>
                </c:pt>
                <c:pt idx="264">
                  <c:v>457</c:v>
                </c:pt>
                <c:pt idx="265">
                  <c:v>589</c:v>
                </c:pt>
                <c:pt idx="266">
                  <c:v>414</c:v>
                </c:pt>
                <c:pt idx="267">
                  <c:v>497</c:v>
                </c:pt>
                <c:pt idx="268">
                  <c:v>394</c:v>
                </c:pt>
                <c:pt idx="269">
                  <c:v>654</c:v>
                </c:pt>
                <c:pt idx="270">
                  <c:v>726</c:v>
                </c:pt>
                <c:pt idx="271">
                  <c:v>316</c:v>
                </c:pt>
                <c:pt idx="272">
                  <c:v>649</c:v>
                </c:pt>
                <c:pt idx="273">
                  <c:v>397</c:v>
                </c:pt>
                <c:pt idx="274">
                  <c:v>255</c:v>
                </c:pt>
                <c:pt idx="275">
                  <c:v>696</c:v>
                </c:pt>
                <c:pt idx="276">
                  <c:v>512</c:v>
                </c:pt>
                <c:pt idx="277">
                  <c:v>238</c:v>
                </c:pt>
                <c:pt idx="278">
                  <c:v>430</c:v>
                </c:pt>
                <c:pt idx="279">
                  <c:v>361</c:v>
                </c:pt>
                <c:pt idx="280">
                  <c:v>527</c:v>
                </c:pt>
                <c:pt idx="281">
                  <c:v>302</c:v>
                </c:pt>
                <c:pt idx="282">
                  <c:v>697</c:v>
                </c:pt>
                <c:pt idx="283">
                  <c:v>443</c:v>
                </c:pt>
                <c:pt idx="284">
                  <c:v>513</c:v>
                </c:pt>
                <c:pt idx="285">
                  <c:v>687</c:v>
                </c:pt>
                <c:pt idx="286">
                  <c:v>829</c:v>
                </c:pt>
                <c:pt idx="287">
                  <c:v>547</c:v>
                </c:pt>
                <c:pt idx="288">
                  <c:v>457</c:v>
                </c:pt>
                <c:pt idx="289">
                  <c:v>467</c:v>
                </c:pt>
                <c:pt idx="290">
                  <c:v>433</c:v>
                </c:pt>
                <c:pt idx="291">
                  <c:v>589</c:v>
                </c:pt>
                <c:pt idx="292">
                  <c:v>552</c:v>
                </c:pt>
                <c:pt idx="293">
                  <c:v>514</c:v>
                </c:pt>
                <c:pt idx="294">
                  <c:v>586</c:v>
                </c:pt>
                <c:pt idx="295">
                  <c:v>405</c:v>
                </c:pt>
                <c:pt idx="296">
                  <c:v>361</c:v>
                </c:pt>
                <c:pt idx="297">
                  <c:v>485</c:v>
                </c:pt>
                <c:pt idx="298">
                  <c:v>576</c:v>
                </c:pt>
                <c:pt idx="299">
                  <c:v>257</c:v>
                </c:pt>
                <c:pt idx="300">
                  <c:v>524</c:v>
                </c:pt>
                <c:pt idx="301">
                  <c:v>589</c:v>
                </c:pt>
                <c:pt idx="302">
                  <c:v>590</c:v>
                </c:pt>
                <c:pt idx="303">
                  <c:v>453</c:v>
                </c:pt>
                <c:pt idx="304">
                  <c:v>545</c:v>
                </c:pt>
                <c:pt idx="305">
                  <c:v>398</c:v>
                </c:pt>
                <c:pt idx="306">
                  <c:v>617</c:v>
                </c:pt>
                <c:pt idx="307">
                  <c:v>663</c:v>
                </c:pt>
                <c:pt idx="308">
                  <c:v>348</c:v>
                </c:pt>
                <c:pt idx="309">
                  <c:v>297</c:v>
                </c:pt>
                <c:pt idx="310">
                  <c:v>404</c:v>
                </c:pt>
                <c:pt idx="311">
                  <c:v>409</c:v>
                </c:pt>
                <c:pt idx="312">
                  <c:v>720</c:v>
                </c:pt>
                <c:pt idx="313">
                  <c:v>868</c:v>
                </c:pt>
                <c:pt idx="314">
                  <c:v>357</c:v>
                </c:pt>
                <c:pt idx="315">
                  <c:v>460</c:v>
                </c:pt>
                <c:pt idx="316">
                  <c:v>916</c:v>
                </c:pt>
                <c:pt idx="317">
                  <c:v>665</c:v>
                </c:pt>
                <c:pt idx="318">
                  <c:v>476</c:v>
                </c:pt>
                <c:pt idx="319">
                  <c:v>439</c:v>
                </c:pt>
                <c:pt idx="320">
                  <c:v>531</c:v>
                </c:pt>
                <c:pt idx="321">
                  <c:v>267</c:v>
                </c:pt>
                <c:pt idx="322">
                  <c:v>412</c:v>
                </c:pt>
                <c:pt idx="323">
                  <c:v>263</c:v>
                </c:pt>
                <c:pt idx="324">
                  <c:v>788</c:v>
                </c:pt>
                <c:pt idx="325">
                  <c:v>568</c:v>
                </c:pt>
                <c:pt idx="326">
                  <c:v>589</c:v>
                </c:pt>
                <c:pt idx="327">
                  <c:v>389</c:v>
                </c:pt>
                <c:pt idx="328">
                  <c:v>362</c:v>
                </c:pt>
                <c:pt idx="329">
                  <c:v>327</c:v>
                </c:pt>
                <c:pt idx="330">
                  <c:v>514</c:v>
                </c:pt>
                <c:pt idx="331">
                  <c:v>455</c:v>
                </c:pt>
                <c:pt idx="332">
                  <c:v>391</c:v>
                </c:pt>
                <c:pt idx="333">
                  <c:v>292</c:v>
                </c:pt>
                <c:pt idx="334">
                  <c:v>701</c:v>
                </c:pt>
                <c:pt idx="335">
                  <c:v>751</c:v>
                </c:pt>
                <c:pt idx="336">
                  <c:v>479</c:v>
                </c:pt>
                <c:pt idx="337">
                  <c:v>537</c:v>
                </c:pt>
                <c:pt idx="338">
                  <c:v>558</c:v>
                </c:pt>
                <c:pt idx="339">
                  <c:v>385</c:v>
                </c:pt>
                <c:pt idx="340">
                  <c:v>518</c:v>
                </c:pt>
                <c:pt idx="341">
                  <c:v>412</c:v>
                </c:pt>
                <c:pt idx="342">
                  <c:v>624</c:v>
                </c:pt>
                <c:pt idx="343">
                  <c:v>789</c:v>
                </c:pt>
                <c:pt idx="344">
                  <c:v>477</c:v>
                </c:pt>
                <c:pt idx="345">
                  <c:v>789</c:v>
                </c:pt>
                <c:pt idx="346">
                  <c:v>513</c:v>
                </c:pt>
                <c:pt idx="347">
                  <c:v>348</c:v>
                </c:pt>
                <c:pt idx="348">
                  <c:v>563</c:v>
                </c:pt>
                <c:pt idx="349">
                  <c:v>501</c:v>
                </c:pt>
                <c:pt idx="350">
                  <c:v>689</c:v>
                </c:pt>
                <c:pt idx="351">
                  <c:v>589</c:v>
                </c:pt>
                <c:pt idx="352">
                  <c:v>642</c:v>
                </c:pt>
                <c:pt idx="353">
                  <c:v>456</c:v>
                </c:pt>
                <c:pt idx="354">
                  <c:v>527</c:v>
                </c:pt>
                <c:pt idx="355">
                  <c:v>660</c:v>
                </c:pt>
                <c:pt idx="356">
                  <c:v>574</c:v>
                </c:pt>
                <c:pt idx="357">
                  <c:v>546</c:v>
                </c:pt>
                <c:pt idx="358">
                  <c:v>747</c:v>
                </c:pt>
                <c:pt idx="359">
                  <c:v>449</c:v>
                </c:pt>
                <c:pt idx="360">
                  <c:v>525</c:v>
                </c:pt>
                <c:pt idx="361">
                  <c:v>565</c:v>
                </c:pt>
                <c:pt idx="362">
                  <c:v>410</c:v>
                </c:pt>
                <c:pt idx="363">
                  <c:v>491</c:v>
                </c:pt>
                <c:pt idx="364">
                  <c:v>403</c:v>
                </c:pt>
                <c:pt idx="365">
                  <c:v>645</c:v>
                </c:pt>
                <c:pt idx="366">
                  <c:v>549</c:v>
                </c:pt>
                <c:pt idx="367">
                  <c:v>262</c:v>
                </c:pt>
                <c:pt idx="368">
                  <c:v>448</c:v>
                </c:pt>
                <c:pt idx="369">
                  <c:v>383</c:v>
                </c:pt>
                <c:pt idx="370">
                  <c:v>689</c:v>
                </c:pt>
                <c:pt idx="371">
                  <c:v>619</c:v>
                </c:pt>
                <c:pt idx="372">
                  <c:v>640</c:v>
                </c:pt>
                <c:pt idx="373">
                  <c:v>481</c:v>
                </c:pt>
                <c:pt idx="374">
                  <c:v>641</c:v>
                </c:pt>
                <c:pt idx="375">
                  <c:v>589</c:v>
                </c:pt>
                <c:pt idx="376">
                  <c:v>789</c:v>
                </c:pt>
                <c:pt idx="377">
                  <c:v>550</c:v>
                </c:pt>
                <c:pt idx="378">
                  <c:v>794</c:v>
                </c:pt>
                <c:pt idx="379">
                  <c:v>589</c:v>
                </c:pt>
                <c:pt idx="380">
                  <c:v>589</c:v>
                </c:pt>
                <c:pt idx="381">
                  <c:v>483</c:v>
                </c:pt>
                <c:pt idx="382">
                  <c:v>264</c:v>
                </c:pt>
                <c:pt idx="383">
                  <c:v>469</c:v>
                </c:pt>
                <c:pt idx="384">
                  <c:v>289</c:v>
                </c:pt>
                <c:pt idx="385">
                  <c:v>491</c:v>
                </c:pt>
                <c:pt idx="386">
                  <c:v>786</c:v>
                </c:pt>
                <c:pt idx="387">
                  <c:v>274</c:v>
                </c:pt>
                <c:pt idx="388">
                  <c:v>489</c:v>
                </c:pt>
                <c:pt idx="389">
                  <c:v>489</c:v>
                </c:pt>
                <c:pt idx="390">
                  <c:v>855</c:v>
                </c:pt>
                <c:pt idx="391">
                  <c:v>449</c:v>
                </c:pt>
                <c:pt idx="392">
                  <c:v>552</c:v>
                </c:pt>
                <c:pt idx="393">
                  <c:v>452</c:v>
                </c:pt>
                <c:pt idx="394">
                  <c:v>285</c:v>
                </c:pt>
                <c:pt idx="395">
                  <c:v>536</c:v>
                </c:pt>
                <c:pt idx="396">
                  <c:v>573</c:v>
                </c:pt>
                <c:pt idx="397">
                  <c:v>829</c:v>
                </c:pt>
                <c:pt idx="398">
                  <c:v>536</c:v>
                </c:pt>
                <c:pt idx="399">
                  <c:v>637</c:v>
                </c:pt>
                <c:pt idx="400">
                  <c:v>363</c:v>
                </c:pt>
                <c:pt idx="401">
                  <c:v>623</c:v>
                </c:pt>
                <c:pt idx="402">
                  <c:v>460</c:v>
                </c:pt>
                <c:pt idx="403">
                  <c:v>677</c:v>
                </c:pt>
                <c:pt idx="404">
                  <c:v>648</c:v>
                </c:pt>
                <c:pt idx="405">
                  <c:v>547</c:v>
                </c:pt>
                <c:pt idx="406">
                  <c:v>565</c:v>
                </c:pt>
                <c:pt idx="407">
                  <c:v>480</c:v>
                </c:pt>
                <c:pt idx="408">
                  <c:v>545</c:v>
                </c:pt>
                <c:pt idx="409">
                  <c:v>494</c:v>
                </c:pt>
                <c:pt idx="410">
                  <c:v>589</c:v>
                </c:pt>
                <c:pt idx="411">
                  <c:v>637</c:v>
                </c:pt>
                <c:pt idx="412">
                  <c:v>300</c:v>
                </c:pt>
                <c:pt idx="413">
                  <c:v>441</c:v>
                </c:pt>
                <c:pt idx="414">
                  <c:v>589</c:v>
                </c:pt>
                <c:pt idx="415">
                  <c:v>489</c:v>
                </c:pt>
                <c:pt idx="416">
                  <c:v>483</c:v>
                </c:pt>
                <c:pt idx="417">
                  <c:v>489</c:v>
                </c:pt>
                <c:pt idx="418">
                  <c:v>689</c:v>
                </c:pt>
                <c:pt idx="419">
                  <c:v>386</c:v>
                </c:pt>
                <c:pt idx="420">
                  <c:v>389</c:v>
                </c:pt>
                <c:pt idx="421">
                  <c:v>497</c:v>
                </c:pt>
                <c:pt idx="422">
                  <c:v>372</c:v>
                </c:pt>
                <c:pt idx="423">
                  <c:v>329</c:v>
                </c:pt>
                <c:pt idx="424">
                  <c:v>431</c:v>
                </c:pt>
                <c:pt idx="425">
                  <c:v>589</c:v>
                </c:pt>
                <c:pt idx="426">
                  <c:v>577</c:v>
                </c:pt>
                <c:pt idx="427">
                  <c:v>597</c:v>
                </c:pt>
                <c:pt idx="428">
                  <c:v>684</c:v>
                </c:pt>
                <c:pt idx="429">
                  <c:v>589</c:v>
                </c:pt>
                <c:pt idx="430">
                  <c:v>889</c:v>
                </c:pt>
                <c:pt idx="431">
                  <c:v>529</c:v>
                </c:pt>
                <c:pt idx="432">
                  <c:v>434</c:v>
                </c:pt>
                <c:pt idx="433">
                  <c:v>640</c:v>
                </c:pt>
                <c:pt idx="434">
                  <c:v>519</c:v>
                </c:pt>
                <c:pt idx="435">
                  <c:v>537</c:v>
                </c:pt>
                <c:pt idx="436">
                  <c:v>511</c:v>
                </c:pt>
                <c:pt idx="437">
                  <c:v>668</c:v>
                </c:pt>
                <c:pt idx="438">
                  <c:v>432</c:v>
                </c:pt>
                <c:pt idx="439">
                  <c:v>429</c:v>
                </c:pt>
                <c:pt idx="440">
                  <c:v>289</c:v>
                </c:pt>
                <c:pt idx="441">
                  <c:v>489</c:v>
                </c:pt>
                <c:pt idx="442">
                  <c:v>562</c:v>
                </c:pt>
                <c:pt idx="443">
                  <c:v>309</c:v>
                </c:pt>
                <c:pt idx="444">
                  <c:v>439</c:v>
                </c:pt>
                <c:pt idx="445">
                  <c:v>426</c:v>
                </c:pt>
                <c:pt idx="446">
                  <c:v>522</c:v>
                </c:pt>
                <c:pt idx="447">
                  <c:v>576</c:v>
                </c:pt>
                <c:pt idx="448">
                  <c:v>434</c:v>
                </c:pt>
                <c:pt idx="449">
                  <c:v>536</c:v>
                </c:pt>
                <c:pt idx="450">
                  <c:v>474</c:v>
                </c:pt>
                <c:pt idx="451">
                  <c:v>401</c:v>
                </c:pt>
                <c:pt idx="452">
                  <c:v>473</c:v>
                </c:pt>
                <c:pt idx="453">
                  <c:v>561</c:v>
                </c:pt>
                <c:pt idx="454">
                  <c:v>439</c:v>
                </c:pt>
                <c:pt idx="455">
                  <c:v>600</c:v>
                </c:pt>
                <c:pt idx="456">
                  <c:v>568</c:v>
                </c:pt>
                <c:pt idx="457">
                  <c:v>669</c:v>
                </c:pt>
                <c:pt idx="458">
                  <c:v>589</c:v>
                </c:pt>
                <c:pt idx="459">
                  <c:v>569</c:v>
                </c:pt>
                <c:pt idx="460">
                  <c:v>603</c:v>
                </c:pt>
                <c:pt idx="461">
                  <c:v>618</c:v>
                </c:pt>
                <c:pt idx="462">
                  <c:v>433</c:v>
                </c:pt>
                <c:pt idx="463">
                  <c:v>311</c:v>
                </c:pt>
                <c:pt idx="464">
                  <c:v>289</c:v>
                </c:pt>
                <c:pt idx="465">
                  <c:v>950</c:v>
                </c:pt>
                <c:pt idx="466">
                  <c:v>468</c:v>
                </c:pt>
                <c:pt idx="467">
                  <c:v>668</c:v>
                </c:pt>
                <c:pt idx="468">
                  <c:v>447</c:v>
                </c:pt>
                <c:pt idx="469">
                  <c:v>823</c:v>
                </c:pt>
                <c:pt idx="470">
                  <c:v>477</c:v>
                </c:pt>
                <c:pt idx="471">
                  <c:v>494</c:v>
                </c:pt>
                <c:pt idx="472">
                  <c:v>522</c:v>
                </c:pt>
                <c:pt idx="473">
                  <c:v>438</c:v>
                </c:pt>
                <c:pt idx="474">
                  <c:v>717</c:v>
                </c:pt>
                <c:pt idx="475">
                  <c:v>291</c:v>
                </c:pt>
                <c:pt idx="476">
                  <c:v>320</c:v>
                </c:pt>
                <c:pt idx="477">
                  <c:v>561</c:v>
                </c:pt>
                <c:pt idx="478">
                  <c:v>632</c:v>
                </c:pt>
                <c:pt idx="479">
                  <c:v>521</c:v>
                </c:pt>
                <c:pt idx="480">
                  <c:v>493</c:v>
                </c:pt>
                <c:pt idx="481">
                  <c:v>380</c:v>
                </c:pt>
                <c:pt idx="482">
                  <c:v>407</c:v>
                </c:pt>
                <c:pt idx="483">
                  <c:v>495</c:v>
                </c:pt>
                <c:pt idx="484">
                  <c:v>518</c:v>
                </c:pt>
                <c:pt idx="485">
                  <c:v>589</c:v>
                </c:pt>
                <c:pt idx="486">
                  <c:v>554</c:v>
                </c:pt>
                <c:pt idx="487">
                  <c:v>517</c:v>
                </c:pt>
                <c:pt idx="488">
                  <c:v>675</c:v>
                </c:pt>
                <c:pt idx="489">
                  <c:v>474</c:v>
                </c:pt>
                <c:pt idx="490">
                  <c:v>539</c:v>
                </c:pt>
                <c:pt idx="491">
                  <c:v>661</c:v>
                </c:pt>
                <c:pt idx="492">
                  <c:v>311</c:v>
                </c:pt>
                <c:pt idx="493">
                  <c:v>289</c:v>
                </c:pt>
                <c:pt idx="494">
                  <c:v>535</c:v>
                </c:pt>
                <c:pt idx="495">
                  <c:v>581</c:v>
                </c:pt>
                <c:pt idx="496">
                  <c:v>571</c:v>
                </c:pt>
                <c:pt idx="497">
                  <c:v>489</c:v>
                </c:pt>
                <c:pt idx="498">
                  <c:v>500</c:v>
                </c:pt>
                <c:pt idx="499">
                  <c:v>397</c:v>
                </c:pt>
                <c:pt idx="500">
                  <c:v>329</c:v>
                </c:pt>
                <c:pt idx="501">
                  <c:v>468</c:v>
                </c:pt>
                <c:pt idx="502">
                  <c:v>835</c:v>
                </c:pt>
                <c:pt idx="503">
                  <c:v>289</c:v>
                </c:pt>
                <c:pt idx="504">
                  <c:v>539</c:v>
                </c:pt>
                <c:pt idx="505">
                  <c:v>389</c:v>
                </c:pt>
                <c:pt idx="506">
                  <c:v>289</c:v>
                </c:pt>
                <c:pt idx="507">
                  <c:v>589</c:v>
                </c:pt>
                <c:pt idx="508">
                  <c:v>614</c:v>
                </c:pt>
                <c:pt idx="509">
                  <c:v>590</c:v>
                </c:pt>
                <c:pt idx="510">
                  <c:v>692</c:v>
                </c:pt>
                <c:pt idx="511">
                  <c:v>349</c:v>
                </c:pt>
                <c:pt idx="512">
                  <c:v>511</c:v>
                </c:pt>
                <c:pt idx="513">
                  <c:v>579</c:v>
                </c:pt>
                <c:pt idx="514">
                  <c:v>531</c:v>
                </c:pt>
                <c:pt idx="515">
                  <c:v>482</c:v>
                </c:pt>
                <c:pt idx="516">
                  <c:v>530</c:v>
                </c:pt>
                <c:pt idx="517">
                  <c:v>487</c:v>
                </c:pt>
                <c:pt idx="518">
                  <c:v>306</c:v>
                </c:pt>
                <c:pt idx="519">
                  <c:v>493</c:v>
                </c:pt>
                <c:pt idx="520">
                  <c:v>558</c:v>
                </c:pt>
                <c:pt idx="521">
                  <c:v>394</c:v>
                </c:pt>
                <c:pt idx="522">
                  <c:v>407</c:v>
                </c:pt>
                <c:pt idx="523">
                  <c:v>425</c:v>
                </c:pt>
                <c:pt idx="524">
                  <c:v>440</c:v>
                </c:pt>
                <c:pt idx="525">
                  <c:v>889</c:v>
                </c:pt>
                <c:pt idx="526">
                  <c:v>459</c:v>
                </c:pt>
                <c:pt idx="527">
                  <c:v>509</c:v>
                </c:pt>
                <c:pt idx="528">
                  <c:v>325</c:v>
                </c:pt>
                <c:pt idx="529">
                  <c:v>708</c:v>
                </c:pt>
                <c:pt idx="530">
                  <c:v>389</c:v>
                </c:pt>
                <c:pt idx="531">
                  <c:v>310</c:v>
                </c:pt>
                <c:pt idx="532">
                  <c:v>396</c:v>
                </c:pt>
                <c:pt idx="533">
                  <c:v>406</c:v>
                </c:pt>
                <c:pt idx="534">
                  <c:v>629</c:v>
                </c:pt>
                <c:pt idx="535">
                  <c:v>312</c:v>
                </c:pt>
                <c:pt idx="536">
                  <c:v>831</c:v>
                </c:pt>
                <c:pt idx="537">
                  <c:v>376</c:v>
                </c:pt>
                <c:pt idx="538">
                  <c:v>489</c:v>
                </c:pt>
                <c:pt idx="539">
                  <c:v>590</c:v>
                </c:pt>
                <c:pt idx="540">
                  <c:v>325</c:v>
                </c:pt>
                <c:pt idx="541">
                  <c:v>773</c:v>
                </c:pt>
                <c:pt idx="542">
                  <c:v>383</c:v>
                </c:pt>
                <c:pt idx="543">
                  <c:v>589</c:v>
                </c:pt>
                <c:pt idx="544">
                  <c:v>442</c:v>
                </c:pt>
                <c:pt idx="545">
                  <c:v>442</c:v>
                </c:pt>
                <c:pt idx="546">
                  <c:v>389</c:v>
                </c:pt>
                <c:pt idx="547">
                  <c:v>495</c:v>
                </c:pt>
                <c:pt idx="548">
                  <c:v>409</c:v>
                </c:pt>
                <c:pt idx="549">
                  <c:v>592</c:v>
                </c:pt>
                <c:pt idx="550">
                  <c:v>500</c:v>
                </c:pt>
                <c:pt idx="551">
                  <c:v>637</c:v>
                </c:pt>
                <c:pt idx="552">
                  <c:v>330</c:v>
                </c:pt>
                <c:pt idx="553">
                  <c:v>528</c:v>
                </c:pt>
                <c:pt idx="554">
                  <c:v>629</c:v>
                </c:pt>
                <c:pt idx="555">
                  <c:v>241</c:v>
                </c:pt>
                <c:pt idx="556">
                  <c:v>460</c:v>
                </c:pt>
                <c:pt idx="557">
                  <c:v>552</c:v>
                </c:pt>
                <c:pt idx="558">
                  <c:v>384</c:v>
                </c:pt>
                <c:pt idx="559">
                  <c:v>486</c:v>
                </c:pt>
                <c:pt idx="560">
                  <c:v>389</c:v>
                </c:pt>
                <c:pt idx="561">
                  <c:v>432</c:v>
                </c:pt>
                <c:pt idx="562">
                  <c:v>289</c:v>
                </c:pt>
                <c:pt idx="563">
                  <c:v>497</c:v>
                </c:pt>
                <c:pt idx="564">
                  <c:v>531</c:v>
                </c:pt>
                <c:pt idx="565">
                  <c:v>389</c:v>
                </c:pt>
                <c:pt idx="566">
                  <c:v>647</c:v>
                </c:pt>
                <c:pt idx="567">
                  <c:v>577</c:v>
                </c:pt>
                <c:pt idx="568">
                  <c:v>289</c:v>
                </c:pt>
                <c:pt idx="569">
                  <c:v>546</c:v>
                </c:pt>
                <c:pt idx="570">
                  <c:v>574</c:v>
                </c:pt>
                <c:pt idx="571">
                  <c:v>439</c:v>
                </c:pt>
                <c:pt idx="572">
                  <c:v>632</c:v>
                </c:pt>
                <c:pt idx="573">
                  <c:v>621</c:v>
                </c:pt>
                <c:pt idx="574">
                  <c:v>290</c:v>
                </c:pt>
                <c:pt idx="575">
                  <c:v>569</c:v>
                </c:pt>
                <c:pt idx="576">
                  <c:v>565</c:v>
                </c:pt>
                <c:pt idx="577">
                  <c:v>571</c:v>
                </c:pt>
                <c:pt idx="578">
                  <c:v>491</c:v>
                </c:pt>
                <c:pt idx="579">
                  <c:v>550</c:v>
                </c:pt>
                <c:pt idx="580">
                  <c:v>866</c:v>
                </c:pt>
                <c:pt idx="581">
                  <c:v>730</c:v>
                </c:pt>
                <c:pt idx="582">
                  <c:v>624</c:v>
                </c:pt>
                <c:pt idx="583">
                  <c:v>526</c:v>
                </c:pt>
                <c:pt idx="584">
                  <c:v>525</c:v>
                </c:pt>
                <c:pt idx="585">
                  <c:v>489</c:v>
                </c:pt>
                <c:pt idx="586">
                  <c:v>579</c:v>
                </c:pt>
                <c:pt idx="587">
                  <c:v>606</c:v>
                </c:pt>
                <c:pt idx="588">
                  <c:v>289</c:v>
                </c:pt>
                <c:pt idx="589">
                  <c:v>518</c:v>
                </c:pt>
                <c:pt idx="590">
                  <c:v>544</c:v>
                </c:pt>
                <c:pt idx="591">
                  <c:v>556</c:v>
                </c:pt>
                <c:pt idx="592">
                  <c:v>489</c:v>
                </c:pt>
                <c:pt idx="593">
                  <c:v>418</c:v>
                </c:pt>
                <c:pt idx="594">
                  <c:v>727</c:v>
                </c:pt>
                <c:pt idx="595">
                  <c:v>717</c:v>
                </c:pt>
                <c:pt idx="596">
                  <c:v>191</c:v>
                </c:pt>
                <c:pt idx="597">
                  <c:v>417</c:v>
                </c:pt>
                <c:pt idx="598">
                  <c:v>598</c:v>
                </c:pt>
                <c:pt idx="599">
                  <c:v>215</c:v>
                </c:pt>
                <c:pt idx="600">
                  <c:v>593</c:v>
                </c:pt>
                <c:pt idx="601">
                  <c:v>479</c:v>
                </c:pt>
                <c:pt idx="602">
                  <c:v>477</c:v>
                </c:pt>
                <c:pt idx="603">
                  <c:v>432</c:v>
                </c:pt>
                <c:pt idx="604">
                  <c:v>224</c:v>
                </c:pt>
                <c:pt idx="605">
                  <c:v>589</c:v>
                </c:pt>
                <c:pt idx="606">
                  <c:v>447</c:v>
                </c:pt>
                <c:pt idx="607">
                  <c:v>516</c:v>
                </c:pt>
                <c:pt idx="608">
                  <c:v>499</c:v>
                </c:pt>
                <c:pt idx="609">
                  <c:v>339</c:v>
                </c:pt>
                <c:pt idx="610">
                  <c:v>580</c:v>
                </c:pt>
                <c:pt idx="611">
                  <c:v>289</c:v>
                </c:pt>
                <c:pt idx="612">
                  <c:v>425</c:v>
                </c:pt>
                <c:pt idx="613">
                  <c:v>496</c:v>
                </c:pt>
                <c:pt idx="614">
                  <c:v>675</c:v>
                </c:pt>
                <c:pt idx="615">
                  <c:v>439</c:v>
                </c:pt>
                <c:pt idx="616">
                  <c:v>596</c:v>
                </c:pt>
                <c:pt idx="617">
                  <c:v>334</c:v>
                </c:pt>
                <c:pt idx="618">
                  <c:v>539</c:v>
                </c:pt>
                <c:pt idx="619">
                  <c:v>439</c:v>
                </c:pt>
                <c:pt idx="620">
                  <c:v>439</c:v>
                </c:pt>
                <c:pt idx="621">
                  <c:v>415</c:v>
                </c:pt>
                <c:pt idx="622">
                  <c:v>400</c:v>
                </c:pt>
                <c:pt idx="623">
                  <c:v>820</c:v>
                </c:pt>
                <c:pt idx="624">
                  <c:v>668</c:v>
                </c:pt>
                <c:pt idx="625">
                  <c:v>760</c:v>
                </c:pt>
                <c:pt idx="626">
                  <c:v>397</c:v>
                </c:pt>
                <c:pt idx="627">
                  <c:v>371</c:v>
                </c:pt>
                <c:pt idx="628">
                  <c:v>405</c:v>
                </c:pt>
                <c:pt idx="629">
                  <c:v>417</c:v>
                </c:pt>
                <c:pt idx="630">
                  <c:v>366</c:v>
                </c:pt>
                <c:pt idx="631">
                  <c:v>529</c:v>
                </c:pt>
                <c:pt idx="632">
                  <c:v>497</c:v>
                </c:pt>
                <c:pt idx="633">
                  <c:v>475</c:v>
                </c:pt>
                <c:pt idx="634">
                  <c:v>650</c:v>
                </c:pt>
                <c:pt idx="635">
                  <c:v>567</c:v>
                </c:pt>
                <c:pt idx="636">
                  <c:v>386</c:v>
                </c:pt>
                <c:pt idx="637">
                  <c:v>687</c:v>
                </c:pt>
                <c:pt idx="638">
                  <c:v>371</c:v>
                </c:pt>
                <c:pt idx="639">
                  <c:v>589</c:v>
                </c:pt>
                <c:pt idx="640">
                  <c:v>584</c:v>
                </c:pt>
                <c:pt idx="641">
                  <c:v>518</c:v>
                </c:pt>
                <c:pt idx="642">
                  <c:v>439</c:v>
                </c:pt>
                <c:pt idx="643">
                  <c:v>434</c:v>
                </c:pt>
                <c:pt idx="644">
                  <c:v>422</c:v>
                </c:pt>
                <c:pt idx="645">
                  <c:v>621</c:v>
                </c:pt>
                <c:pt idx="646">
                  <c:v>499</c:v>
                </c:pt>
                <c:pt idx="647">
                  <c:v>389</c:v>
                </c:pt>
                <c:pt idx="648">
                  <c:v>489</c:v>
                </c:pt>
                <c:pt idx="649">
                  <c:v>427</c:v>
                </c:pt>
                <c:pt idx="650">
                  <c:v>576</c:v>
                </c:pt>
                <c:pt idx="651">
                  <c:v>473</c:v>
                </c:pt>
                <c:pt idx="652">
                  <c:v>526</c:v>
                </c:pt>
                <c:pt idx="653">
                  <c:v>359</c:v>
                </c:pt>
                <c:pt idx="654">
                  <c:v>589</c:v>
                </c:pt>
                <c:pt idx="655">
                  <c:v>439</c:v>
                </c:pt>
                <c:pt idx="656">
                  <c:v>426</c:v>
                </c:pt>
                <c:pt idx="657">
                  <c:v>464</c:v>
                </c:pt>
                <c:pt idx="658">
                  <c:v>605</c:v>
                </c:pt>
                <c:pt idx="659">
                  <c:v>657</c:v>
                </c:pt>
                <c:pt idx="660">
                  <c:v>491</c:v>
                </c:pt>
                <c:pt idx="661">
                  <c:v>688</c:v>
                </c:pt>
                <c:pt idx="662">
                  <c:v>497</c:v>
                </c:pt>
                <c:pt idx="663">
                  <c:v>536</c:v>
                </c:pt>
                <c:pt idx="664">
                  <c:v>449</c:v>
                </c:pt>
                <c:pt idx="665">
                  <c:v>530</c:v>
                </c:pt>
                <c:pt idx="666">
                  <c:v>631</c:v>
                </c:pt>
                <c:pt idx="667">
                  <c:v>505</c:v>
                </c:pt>
                <c:pt idx="668">
                  <c:v>558</c:v>
                </c:pt>
                <c:pt idx="669">
                  <c:v>789</c:v>
                </c:pt>
                <c:pt idx="670">
                  <c:v>928</c:v>
                </c:pt>
                <c:pt idx="671">
                  <c:v>434</c:v>
                </c:pt>
                <c:pt idx="672">
                  <c:v>511</c:v>
                </c:pt>
                <c:pt idx="673">
                  <c:v>328</c:v>
                </c:pt>
                <c:pt idx="674">
                  <c:v>471</c:v>
                </c:pt>
                <c:pt idx="675">
                  <c:v>496</c:v>
                </c:pt>
                <c:pt idx="676">
                  <c:v>591</c:v>
                </c:pt>
                <c:pt idx="677">
                  <c:v>778</c:v>
                </c:pt>
                <c:pt idx="678">
                  <c:v>507</c:v>
                </c:pt>
                <c:pt idx="679">
                  <c:v>168</c:v>
                </c:pt>
                <c:pt idx="680">
                  <c:v>443</c:v>
                </c:pt>
                <c:pt idx="681">
                  <c:v>492</c:v>
                </c:pt>
                <c:pt idx="682">
                  <c:v>468</c:v>
                </c:pt>
                <c:pt idx="683">
                  <c:v>556</c:v>
                </c:pt>
                <c:pt idx="684">
                  <c:v>289</c:v>
                </c:pt>
                <c:pt idx="685">
                  <c:v>449</c:v>
                </c:pt>
                <c:pt idx="686">
                  <c:v>340</c:v>
                </c:pt>
                <c:pt idx="687">
                  <c:v>363</c:v>
                </c:pt>
                <c:pt idx="688">
                  <c:v>389</c:v>
                </c:pt>
                <c:pt idx="689">
                  <c:v>649</c:v>
                </c:pt>
                <c:pt idx="690">
                  <c:v>506</c:v>
                </c:pt>
                <c:pt idx="691">
                  <c:v>439</c:v>
                </c:pt>
                <c:pt idx="692">
                  <c:v>499</c:v>
                </c:pt>
                <c:pt idx="693">
                  <c:v>533</c:v>
                </c:pt>
                <c:pt idx="694">
                  <c:v>463</c:v>
                </c:pt>
                <c:pt idx="695">
                  <c:v>504</c:v>
                </c:pt>
                <c:pt idx="696">
                  <c:v>589</c:v>
                </c:pt>
                <c:pt idx="697">
                  <c:v>596</c:v>
                </c:pt>
                <c:pt idx="698">
                  <c:v>539</c:v>
                </c:pt>
                <c:pt idx="699">
                  <c:v>507</c:v>
                </c:pt>
                <c:pt idx="700">
                  <c:v>586</c:v>
                </c:pt>
                <c:pt idx="701">
                  <c:v>378</c:v>
                </c:pt>
                <c:pt idx="702">
                  <c:v>484</c:v>
                </c:pt>
                <c:pt idx="703">
                  <c:v>489</c:v>
                </c:pt>
                <c:pt idx="704">
                  <c:v>527</c:v>
                </c:pt>
                <c:pt idx="705">
                  <c:v>416</c:v>
                </c:pt>
                <c:pt idx="706">
                  <c:v>463</c:v>
                </c:pt>
                <c:pt idx="707">
                  <c:v>508</c:v>
                </c:pt>
                <c:pt idx="708">
                  <c:v>589</c:v>
                </c:pt>
                <c:pt idx="709">
                  <c:v>544</c:v>
                </c:pt>
                <c:pt idx="710">
                  <c:v>373</c:v>
                </c:pt>
                <c:pt idx="711">
                  <c:v>690</c:v>
                </c:pt>
                <c:pt idx="712">
                  <c:v>389</c:v>
                </c:pt>
                <c:pt idx="713">
                  <c:v>376</c:v>
                </c:pt>
                <c:pt idx="714">
                  <c:v>580</c:v>
                </c:pt>
                <c:pt idx="715">
                  <c:v>789</c:v>
                </c:pt>
                <c:pt idx="716">
                  <c:v>538</c:v>
                </c:pt>
                <c:pt idx="717">
                  <c:v>720</c:v>
                </c:pt>
                <c:pt idx="718">
                  <c:v>453</c:v>
                </c:pt>
                <c:pt idx="719">
                  <c:v>580</c:v>
                </c:pt>
                <c:pt idx="720">
                  <c:v>594</c:v>
                </c:pt>
                <c:pt idx="721">
                  <c:v>575</c:v>
                </c:pt>
                <c:pt idx="722">
                  <c:v>726</c:v>
                </c:pt>
                <c:pt idx="723">
                  <c:v>572</c:v>
                </c:pt>
                <c:pt idx="724">
                  <c:v>775</c:v>
                </c:pt>
                <c:pt idx="725">
                  <c:v>553</c:v>
                </c:pt>
                <c:pt idx="726">
                  <c:v>498</c:v>
                </c:pt>
                <c:pt idx="727">
                  <c:v>430</c:v>
                </c:pt>
                <c:pt idx="728">
                  <c:v>474</c:v>
                </c:pt>
                <c:pt idx="729">
                  <c:v>447</c:v>
                </c:pt>
                <c:pt idx="730">
                  <c:v>426</c:v>
                </c:pt>
                <c:pt idx="731">
                  <c:v>445</c:v>
                </c:pt>
                <c:pt idx="732">
                  <c:v>481</c:v>
                </c:pt>
                <c:pt idx="733">
                  <c:v>359</c:v>
                </c:pt>
                <c:pt idx="734">
                  <c:v>439</c:v>
                </c:pt>
                <c:pt idx="735">
                  <c:v>502</c:v>
                </c:pt>
                <c:pt idx="736">
                  <c:v>520</c:v>
                </c:pt>
                <c:pt idx="737">
                  <c:v>366</c:v>
                </c:pt>
                <c:pt idx="738">
                  <c:v>389</c:v>
                </c:pt>
                <c:pt idx="739">
                  <c:v>589</c:v>
                </c:pt>
                <c:pt idx="740">
                  <c:v>289</c:v>
                </c:pt>
                <c:pt idx="741">
                  <c:v>452</c:v>
                </c:pt>
                <c:pt idx="742">
                  <c:v>405</c:v>
                </c:pt>
                <c:pt idx="743">
                  <c:v>459</c:v>
                </c:pt>
                <c:pt idx="744">
                  <c:v>517</c:v>
                </c:pt>
                <c:pt idx="745">
                  <c:v>748</c:v>
                </c:pt>
                <c:pt idx="746">
                  <c:v>607</c:v>
                </c:pt>
                <c:pt idx="747">
                  <c:v>494</c:v>
                </c:pt>
                <c:pt idx="748">
                  <c:v>539</c:v>
                </c:pt>
                <c:pt idx="749">
                  <c:v>589</c:v>
                </c:pt>
                <c:pt idx="750">
                  <c:v>541</c:v>
                </c:pt>
                <c:pt idx="751">
                  <c:v>539</c:v>
                </c:pt>
                <c:pt idx="752">
                  <c:v>441</c:v>
                </c:pt>
                <c:pt idx="753">
                  <c:v>539</c:v>
                </c:pt>
                <c:pt idx="754">
                  <c:v>433</c:v>
                </c:pt>
                <c:pt idx="755">
                  <c:v>636</c:v>
                </c:pt>
                <c:pt idx="756">
                  <c:v>717</c:v>
                </c:pt>
                <c:pt idx="757">
                  <c:v>347</c:v>
                </c:pt>
                <c:pt idx="758">
                  <c:v>507</c:v>
                </c:pt>
                <c:pt idx="759">
                  <c:v>351</c:v>
                </c:pt>
                <c:pt idx="760">
                  <c:v>518</c:v>
                </c:pt>
                <c:pt idx="761">
                  <c:v>505</c:v>
                </c:pt>
                <c:pt idx="762">
                  <c:v>488</c:v>
                </c:pt>
                <c:pt idx="763">
                  <c:v>479</c:v>
                </c:pt>
                <c:pt idx="764">
                  <c:v>374</c:v>
                </c:pt>
                <c:pt idx="765">
                  <c:v>725</c:v>
                </c:pt>
                <c:pt idx="766">
                  <c:v>272</c:v>
                </c:pt>
                <c:pt idx="767">
                  <c:v>539</c:v>
                </c:pt>
                <c:pt idx="768">
                  <c:v>557</c:v>
                </c:pt>
                <c:pt idx="769">
                  <c:v>554</c:v>
                </c:pt>
                <c:pt idx="770">
                  <c:v>417</c:v>
                </c:pt>
                <c:pt idx="771">
                  <c:v>350</c:v>
                </c:pt>
                <c:pt idx="772">
                  <c:v>501</c:v>
                </c:pt>
                <c:pt idx="773">
                  <c:v>599</c:v>
                </c:pt>
                <c:pt idx="774">
                  <c:v>378</c:v>
                </c:pt>
                <c:pt idx="775">
                  <c:v>589</c:v>
                </c:pt>
                <c:pt idx="776">
                  <c:v>589</c:v>
                </c:pt>
                <c:pt idx="777">
                  <c:v>506</c:v>
                </c:pt>
                <c:pt idx="778">
                  <c:v>396</c:v>
                </c:pt>
                <c:pt idx="779">
                  <c:v>293</c:v>
                </c:pt>
                <c:pt idx="780">
                  <c:v>572</c:v>
                </c:pt>
                <c:pt idx="781">
                  <c:v>721</c:v>
                </c:pt>
                <c:pt idx="782">
                  <c:v>574</c:v>
                </c:pt>
                <c:pt idx="783">
                  <c:v>556</c:v>
                </c:pt>
                <c:pt idx="784">
                  <c:v>824</c:v>
                </c:pt>
                <c:pt idx="785">
                  <c:v>484</c:v>
                </c:pt>
                <c:pt idx="786">
                  <c:v>684</c:v>
                </c:pt>
                <c:pt idx="787">
                  <c:v>442</c:v>
                </c:pt>
                <c:pt idx="788">
                  <c:v>536</c:v>
                </c:pt>
                <c:pt idx="789">
                  <c:v>589</c:v>
                </c:pt>
                <c:pt idx="790">
                  <c:v>525</c:v>
                </c:pt>
                <c:pt idx="791">
                  <c:v>558</c:v>
                </c:pt>
                <c:pt idx="792">
                  <c:v>388</c:v>
                </c:pt>
                <c:pt idx="793">
                  <c:v>255</c:v>
                </c:pt>
                <c:pt idx="794">
                  <c:v>442</c:v>
                </c:pt>
                <c:pt idx="795">
                  <c:v>408</c:v>
                </c:pt>
                <c:pt idx="796">
                  <c:v>678</c:v>
                </c:pt>
                <c:pt idx="797">
                  <c:v>515</c:v>
                </c:pt>
                <c:pt idx="798">
                  <c:v>482</c:v>
                </c:pt>
                <c:pt idx="799">
                  <c:v>623</c:v>
                </c:pt>
                <c:pt idx="800">
                  <c:v>676</c:v>
                </c:pt>
                <c:pt idx="801">
                  <c:v>589</c:v>
                </c:pt>
                <c:pt idx="802">
                  <c:v>583</c:v>
                </c:pt>
                <c:pt idx="803">
                  <c:v>497</c:v>
                </c:pt>
                <c:pt idx="804">
                  <c:v>301</c:v>
                </c:pt>
                <c:pt idx="805">
                  <c:v>662</c:v>
                </c:pt>
                <c:pt idx="806">
                  <c:v>464</c:v>
                </c:pt>
                <c:pt idx="807">
                  <c:v>376</c:v>
                </c:pt>
                <c:pt idx="808">
                  <c:v>715</c:v>
                </c:pt>
                <c:pt idx="809">
                  <c:v>581</c:v>
                </c:pt>
                <c:pt idx="810">
                  <c:v>429</c:v>
                </c:pt>
                <c:pt idx="811">
                  <c:v>498</c:v>
                </c:pt>
                <c:pt idx="812">
                  <c:v>589</c:v>
                </c:pt>
                <c:pt idx="813">
                  <c:v>289</c:v>
                </c:pt>
                <c:pt idx="814">
                  <c:v>435</c:v>
                </c:pt>
                <c:pt idx="815">
                  <c:v>689</c:v>
                </c:pt>
                <c:pt idx="816">
                  <c:v>518</c:v>
                </c:pt>
                <c:pt idx="817">
                  <c:v>579</c:v>
                </c:pt>
                <c:pt idx="818">
                  <c:v>389</c:v>
                </c:pt>
                <c:pt idx="819">
                  <c:v>488</c:v>
                </c:pt>
                <c:pt idx="820">
                  <c:v>746</c:v>
                </c:pt>
                <c:pt idx="821">
                  <c:v>289</c:v>
                </c:pt>
                <c:pt idx="822">
                  <c:v>766</c:v>
                </c:pt>
                <c:pt idx="823">
                  <c:v>789</c:v>
                </c:pt>
                <c:pt idx="824">
                  <c:v>489</c:v>
                </c:pt>
                <c:pt idx="825">
                  <c:v>520</c:v>
                </c:pt>
                <c:pt idx="826">
                  <c:v>452</c:v>
                </c:pt>
                <c:pt idx="827">
                  <c:v>551</c:v>
                </c:pt>
                <c:pt idx="828">
                  <c:v>527</c:v>
                </c:pt>
                <c:pt idx="829">
                  <c:v>398</c:v>
                </c:pt>
                <c:pt idx="830">
                  <c:v>878</c:v>
                </c:pt>
                <c:pt idx="831">
                  <c:v>418</c:v>
                </c:pt>
                <c:pt idx="832">
                  <c:v>389</c:v>
                </c:pt>
                <c:pt idx="833">
                  <c:v>646</c:v>
                </c:pt>
                <c:pt idx="834">
                  <c:v>525</c:v>
                </c:pt>
                <c:pt idx="835">
                  <c:v>273</c:v>
                </c:pt>
                <c:pt idx="836">
                  <c:v>206</c:v>
                </c:pt>
                <c:pt idx="837">
                  <c:v>404</c:v>
                </c:pt>
                <c:pt idx="838">
                  <c:v>564</c:v>
                </c:pt>
                <c:pt idx="839">
                  <c:v>529</c:v>
                </c:pt>
                <c:pt idx="840">
                  <c:v>889</c:v>
                </c:pt>
                <c:pt idx="841">
                  <c:v>339</c:v>
                </c:pt>
                <c:pt idx="842">
                  <c:v>672</c:v>
                </c:pt>
                <c:pt idx="843">
                  <c:v>518</c:v>
                </c:pt>
                <c:pt idx="844">
                  <c:v>323</c:v>
                </c:pt>
                <c:pt idx="845">
                  <c:v>326</c:v>
                </c:pt>
                <c:pt idx="846">
                  <c:v>589</c:v>
                </c:pt>
                <c:pt idx="847">
                  <c:v>508</c:v>
                </c:pt>
                <c:pt idx="848">
                  <c:v>541</c:v>
                </c:pt>
                <c:pt idx="849">
                  <c:v>441</c:v>
                </c:pt>
                <c:pt idx="850">
                  <c:v>450</c:v>
                </c:pt>
                <c:pt idx="851">
                  <c:v>294</c:v>
                </c:pt>
                <c:pt idx="852">
                  <c:v>424</c:v>
                </c:pt>
                <c:pt idx="853">
                  <c:v>317</c:v>
                </c:pt>
                <c:pt idx="854">
                  <c:v>507</c:v>
                </c:pt>
                <c:pt idx="855">
                  <c:v>393</c:v>
                </c:pt>
                <c:pt idx="856">
                  <c:v>579</c:v>
                </c:pt>
                <c:pt idx="857">
                  <c:v>367</c:v>
                </c:pt>
                <c:pt idx="858">
                  <c:v>513</c:v>
                </c:pt>
                <c:pt idx="859">
                  <c:v>473</c:v>
                </c:pt>
                <c:pt idx="860">
                  <c:v>438</c:v>
                </c:pt>
                <c:pt idx="861">
                  <c:v>517</c:v>
                </c:pt>
                <c:pt idx="862">
                  <c:v>323</c:v>
                </c:pt>
                <c:pt idx="863">
                  <c:v>331</c:v>
                </c:pt>
                <c:pt idx="864">
                  <c:v>364</c:v>
                </c:pt>
                <c:pt idx="865">
                  <c:v>455</c:v>
                </c:pt>
                <c:pt idx="866">
                  <c:v>438</c:v>
                </c:pt>
                <c:pt idx="867">
                  <c:v>519</c:v>
                </c:pt>
                <c:pt idx="868">
                  <c:v>763</c:v>
                </c:pt>
                <c:pt idx="869">
                  <c:v>650</c:v>
                </c:pt>
                <c:pt idx="870">
                  <c:v>635</c:v>
                </c:pt>
                <c:pt idx="871">
                  <c:v>635</c:v>
                </c:pt>
                <c:pt idx="872">
                  <c:v>412</c:v>
                </c:pt>
                <c:pt idx="873">
                  <c:v>778</c:v>
                </c:pt>
                <c:pt idx="874">
                  <c:v>391</c:v>
                </c:pt>
                <c:pt idx="875">
                  <c:v>398</c:v>
                </c:pt>
                <c:pt idx="876">
                  <c:v>289</c:v>
                </c:pt>
                <c:pt idx="877">
                  <c:v>289</c:v>
                </c:pt>
                <c:pt idx="878">
                  <c:v>397</c:v>
                </c:pt>
                <c:pt idx="879">
                  <c:v>658</c:v>
                </c:pt>
                <c:pt idx="880">
                  <c:v>459</c:v>
                </c:pt>
                <c:pt idx="881">
                  <c:v>496</c:v>
                </c:pt>
                <c:pt idx="882">
                  <c:v>270</c:v>
                </c:pt>
                <c:pt idx="883">
                  <c:v>480</c:v>
                </c:pt>
                <c:pt idx="884">
                  <c:v>585</c:v>
                </c:pt>
                <c:pt idx="885">
                  <c:v>384</c:v>
                </c:pt>
                <c:pt idx="886">
                  <c:v>594</c:v>
                </c:pt>
                <c:pt idx="887">
                  <c:v>322</c:v>
                </c:pt>
                <c:pt idx="888">
                  <c:v>624</c:v>
                </c:pt>
                <c:pt idx="889">
                  <c:v>604</c:v>
                </c:pt>
                <c:pt idx="890">
                  <c:v>384</c:v>
                </c:pt>
                <c:pt idx="891">
                  <c:v>424</c:v>
                </c:pt>
                <c:pt idx="892">
                  <c:v>489</c:v>
                </c:pt>
                <c:pt idx="893">
                  <c:v>796</c:v>
                </c:pt>
                <c:pt idx="894">
                  <c:v>477</c:v>
                </c:pt>
                <c:pt idx="895">
                  <c:v>411</c:v>
                </c:pt>
                <c:pt idx="896">
                  <c:v>439</c:v>
                </c:pt>
                <c:pt idx="897">
                  <c:v>560</c:v>
                </c:pt>
                <c:pt idx="898">
                  <c:v>400</c:v>
                </c:pt>
                <c:pt idx="899">
                  <c:v>368</c:v>
                </c:pt>
                <c:pt idx="900">
                  <c:v>335</c:v>
                </c:pt>
                <c:pt idx="901">
                  <c:v>463</c:v>
                </c:pt>
                <c:pt idx="902">
                  <c:v>394</c:v>
                </c:pt>
                <c:pt idx="903">
                  <c:v>749</c:v>
                </c:pt>
                <c:pt idx="904">
                  <c:v>410</c:v>
                </c:pt>
                <c:pt idx="905">
                  <c:v>433</c:v>
                </c:pt>
                <c:pt idx="906">
                  <c:v>519</c:v>
                </c:pt>
                <c:pt idx="907">
                  <c:v>589</c:v>
                </c:pt>
                <c:pt idx="908">
                  <c:v>842</c:v>
                </c:pt>
                <c:pt idx="909">
                  <c:v>589</c:v>
                </c:pt>
                <c:pt idx="910">
                  <c:v>539</c:v>
                </c:pt>
                <c:pt idx="911">
                  <c:v>428</c:v>
                </c:pt>
                <c:pt idx="912">
                  <c:v>587</c:v>
                </c:pt>
                <c:pt idx="913">
                  <c:v>481</c:v>
                </c:pt>
                <c:pt idx="914">
                  <c:v>778</c:v>
                </c:pt>
                <c:pt idx="915">
                  <c:v>479</c:v>
                </c:pt>
                <c:pt idx="916">
                  <c:v>582</c:v>
                </c:pt>
                <c:pt idx="917">
                  <c:v>651</c:v>
                </c:pt>
                <c:pt idx="918">
                  <c:v>574</c:v>
                </c:pt>
                <c:pt idx="919">
                  <c:v>673</c:v>
                </c:pt>
                <c:pt idx="920">
                  <c:v>534</c:v>
                </c:pt>
                <c:pt idx="921">
                  <c:v>398</c:v>
                </c:pt>
                <c:pt idx="922">
                  <c:v>289</c:v>
                </c:pt>
                <c:pt idx="923">
                  <c:v>589</c:v>
                </c:pt>
                <c:pt idx="924">
                  <c:v>271</c:v>
                </c:pt>
                <c:pt idx="925">
                  <c:v>384</c:v>
                </c:pt>
                <c:pt idx="926">
                  <c:v>407</c:v>
                </c:pt>
                <c:pt idx="927">
                  <c:v>967</c:v>
                </c:pt>
                <c:pt idx="928">
                  <c:v>630</c:v>
                </c:pt>
                <c:pt idx="929">
                  <c:v>377</c:v>
                </c:pt>
                <c:pt idx="930">
                  <c:v>456</c:v>
                </c:pt>
                <c:pt idx="931">
                  <c:v>704</c:v>
                </c:pt>
                <c:pt idx="932">
                  <c:v>503</c:v>
                </c:pt>
                <c:pt idx="933">
                  <c:v>363</c:v>
                </c:pt>
                <c:pt idx="934">
                  <c:v>453</c:v>
                </c:pt>
                <c:pt idx="935">
                  <c:v>456</c:v>
                </c:pt>
                <c:pt idx="936">
                  <c:v>480</c:v>
                </c:pt>
                <c:pt idx="937">
                  <c:v>425</c:v>
                </c:pt>
                <c:pt idx="938">
                  <c:v>424</c:v>
                </c:pt>
                <c:pt idx="939">
                  <c:v>732</c:v>
                </c:pt>
                <c:pt idx="940">
                  <c:v>895</c:v>
                </c:pt>
                <c:pt idx="941">
                  <c:v>477</c:v>
                </c:pt>
                <c:pt idx="942">
                  <c:v>571</c:v>
                </c:pt>
                <c:pt idx="943">
                  <c:v>744</c:v>
                </c:pt>
                <c:pt idx="944">
                  <c:v>419</c:v>
                </c:pt>
                <c:pt idx="945">
                  <c:v>550</c:v>
                </c:pt>
                <c:pt idx="946">
                  <c:v>588</c:v>
                </c:pt>
                <c:pt idx="947">
                  <c:v>443</c:v>
                </c:pt>
                <c:pt idx="948">
                  <c:v>539</c:v>
                </c:pt>
                <c:pt idx="949">
                  <c:v>397</c:v>
                </c:pt>
                <c:pt idx="950">
                  <c:v>368</c:v>
                </c:pt>
                <c:pt idx="951">
                  <c:v>496</c:v>
                </c:pt>
                <c:pt idx="952">
                  <c:v>254</c:v>
                </c:pt>
                <c:pt idx="953">
                  <c:v>589</c:v>
                </c:pt>
                <c:pt idx="954">
                  <c:v>558</c:v>
                </c:pt>
                <c:pt idx="955">
                  <c:v>564</c:v>
                </c:pt>
                <c:pt idx="956">
                  <c:v>546</c:v>
                </c:pt>
                <c:pt idx="957">
                  <c:v>441</c:v>
                </c:pt>
                <c:pt idx="958">
                  <c:v>405</c:v>
                </c:pt>
                <c:pt idx="959">
                  <c:v>489</c:v>
                </c:pt>
                <c:pt idx="960">
                  <c:v>573</c:v>
                </c:pt>
                <c:pt idx="961">
                  <c:v>717</c:v>
                </c:pt>
                <c:pt idx="962">
                  <c:v>437</c:v>
                </c:pt>
                <c:pt idx="963">
                  <c:v>575</c:v>
                </c:pt>
                <c:pt idx="964">
                  <c:v>445</c:v>
                </c:pt>
                <c:pt idx="965">
                  <c:v>420</c:v>
                </c:pt>
                <c:pt idx="966">
                  <c:v>633</c:v>
                </c:pt>
                <c:pt idx="967">
                  <c:v>556</c:v>
                </c:pt>
                <c:pt idx="968">
                  <c:v>522</c:v>
                </c:pt>
                <c:pt idx="969">
                  <c:v>703</c:v>
                </c:pt>
                <c:pt idx="970">
                  <c:v>395</c:v>
                </c:pt>
                <c:pt idx="971">
                  <c:v>445</c:v>
                </c:pt>
                <c:pt idx="972">
                  <c:v>417</c:v>
                </c:pt>
                <c:pt idx="973">
                  <c:v>481</c:v>
                </c:pt>
                <c:pt idx="974">
                  <c:v>489</c:v>
                </c:pt>
                <c:pt idx="975">
                  <c:v>540</c:v>
                </c:pt>
                <c:pt idx="976">
                  <c:v>409</c:v>
                </c:pt>
                <c:pt idx="977">
                  <c:v>424</c:v>
                </c:pt>
                <c:pt idx="978">
                  <c:v>489</c:v>
                </c:pt>
                <c:pt idx="979">
                  <c:v>576</c:v>
                </c:pt>
                <c:pt idx="980">
                  <c:v>325</c:v>
                </c:pt>
                <c:pt idx="981">
                  <c:v>419</c:v>
                </c:pt>
                <c:pt idx="982">
                  <c:v>558</c:v>
                </c:pt>
                <c:pt idx="983">
                  <c:v>395</c:v>
                </c:pt>
                <c:pt idx="984">
                  <c:v>652</c:v>
                </c:pt>
                <c:pt idx="985">
                  <c:v>563</c:v>
                </c:pt>
                <c:pt idx="986">
                  <c:v>327</c:v>
                </c:pt>
                <c:pt idx="987">
                  <c:v>428</c:v>
                </c:pt>
                <c:pt idx="988">
                  <c:v>492</c:v>
                </c:pt>
                <c:pt idx="989">
                  <c:v>422</c:v>
                </c:pt>
                <c:pt idx="990">
                  <c:v>401</c:v>
                </c:pt>
                <c:pt idx="991">
                  <c:v>449</c:v>
                </c:pt>
                <c:pt idx="992">
                  <c:v>489</c:v>
                </c:pt>
                <c:pt idx="993">
                  <c:v>589</c:v>
                </c:pt>
                <c:pt idx="994">
                  <c:v>551</c:v>
                </c:pt>
                <c:pt idx="995">
                  <c:v>539</c:v>
                </c:pt>
                <c:pt idx="996">
                  <c:v>574</c:v>
                </c:pt>
                <c:pt idx="997">
                  <c:v>566</c:v>
                </c:pt>
                <c:pt idx="998">
                  <c:v>451</c:v>
                </c:pt>
                <c:pt idx="999">
                  <c:v>662</c:v>
                </c:pt>
              </c:numCache>
            </c:numRef>
          </c:yVal>
          <c:smooth val="0"/>
          <c:extLst>
            <c:ext xmlns:c16="http://schemas.microsoft.com/office/drawing/2014/chart" uri="{C3380CC4-5D6E-409C-BE32-E72D297353CC}">
              <c16:uniqueId val="{00000001-7656-4164-9921-C47C067EA4EF}"/>
            </c:ext>
          </c:extLst>
        </c:ser>
        <c:dLbls>
          <c:showLegendKey val="0"/>
          <c:showVal val="0"/>
          <c:showCatName val="0"/>
          <c:showSerName val="0"/>
          <c:showPercent val="0"/>
          <c:showBubbleSize val="0"/>
        </c:dLbls>
        <c:axId val="180224416"/>
        <c:axId val="282646448"/>
      </c:scatterChart>
      <c:valAx>
        <c:axId val="18022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646448"/>
        <c:crosses val="autoZero"/>
        <c:crossBetween val="midCat"/>
      </c:valAx>
      <c:valAx>
        <c:axId val="28264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244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Relationship Between Age Phone and Selling Price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Raw_Data!$E$2:$E$1001</c:f>
              <c:numCache>
                <c:formatCode>0\ "Years"</c:formatCode>
                <c:ptCount val="1000"/>
                <c:pt idx="0">
                  <c:v>6</c:v>
                </c:pt>
                <c:pt idx="1">
                  <c:v>6</c:v>
                </c:pt>
                <c:pt idx="2">
                  <c:v>3</c:v>
                </c:pt>
                <c:pt idx="3">
                  <c:v>5</c:v>
                </c:pt>
                <c:pt idx="4">
                  <c:v>5</c:v>
                </c:pt>
                <c:pt idx="5">
                  <c:v>3</c:v>
                </c:pt>
                <c:pt idx="6">
                  <c:v>3</c:v>
                </c:pt>
                <c:pt idx="7">
                  <c:v>5</c:v>
                </c:pt>
                <c:pt idx="8">
                  <c:v>6</c:v>
                </c:pt>
                <c:pt idx="9">
                  <c:v>4</c:v>
                </c:pt>
                <c:pt idx="10">
                  <c:v>6</c:v>
                </c:pt>
                <c:pt idx="11">
                  <c:v>4</c:v>
                </c:pt>
                <c:pt idx="12">
                  <c:v>2</c:v>
                </c:pt>
                <c:pt idx="13">
                  <c:v>2</c:v>
                </c:pt>
                <c:pt idx="14">
                  <c:v>2</c:v>
                </c:pt>
                <c:pt idx="15">
                  <c:v>2</c:v>
                </c:pt>
                <c:pt idx="16">
                  <c:v>3</c:v>
                </c:pt>
                <c:pt idx="17">
                  <c:v>6</c:v>
                </c:pt>
                <c:pt idx="18">
                  <c:v>4</c:v>
                </c:pt>
                <c:pt idx="19">
                  <c:v>6</c:v>
                </c:pt>
                <c:pt idx="20">
                  <c:v>6</c:v>
                </c:pt>
                <c:pt idx="21">
                  <c:v>3</c:v>
                </c:pt>
                <c:pt idx="22">
                  <c:v>6</c:v>
                </c:pt>
                <c:pt idx="23">
                  <c:v>3</c:v>
                </c:pt>
                <c:pt idx="24">
                  <c:v>4</c:v>
                </c:pt>
                <c:pt idx="25">
                  <c:v>2</c:v>
                </c:pt>
                <c:pt idx="26">
                  <c:v>3</c:v>
                </c:pt>
                <c:pt idx="27">
                  <c:v>6</c:v>
                </c:pt>
                <c:pt idx="28">
                  <c:v>4</c:v>
                </c:pt>
                <c:pt idx="29">
                  <c:v>5</c:v>
                </c:pt>
                <c:pt idx="30">
                  <c:v>5</c:v>
                </c:pt>
                <c:pt idx="31">
                  <c:v>2</c:v>
                </c:pt>
                <c:pt idx="32">
                  <c:v>6</c:v>
                </c:pt>
                <c:pt idx="33">
                  <c:v>5</c:v>
                </c:pt>
                <c:pt idx="34">
                  <c:v>2</c:v>
                </c:pt>
                <c:pt idx="35">
                  <c:v>6</c:v>
                </c:pt>
                <c:pt idx="36">
                  <c:v>5</c:v>
                </c:pt>
                <c:pt idx="37">
                  <c:v>2</c:v>
                </c:pt>
                <c:pt idx="38">
                  <c:v>4</c:v>
                </c:pt>
                <c:pt idx="39">
                  <c:v>4</c:v>
                </c:pt>
                <c:pt idx="40">
                  <c:v>4</c:v>
                </c:pt>
                <c:pt idx="41">
                  <c:v>2</c:v>
                </c:pt>
                <c:pt idx="42">
                  <c:v>6</c:v>
                </c:pt>
                <c:pt idx="43">
                  <c:v>5</c:v>
                </c:pt>
                <c:pt idx="44">
                  <c:v>4</c:v>
                </c:pt>
                <c:pt idx="45">
                  <c:v>6</c:v>
                </c:pt>
                <c:pt idx="46">
                  <c:v>3</c:v>
                </c:pt>
                <c:pt idx="47">
                  <c:v>2</c:v>
                </c:pt>
                <c:pt idx="48">
                  <c:v>6</c:v>
                </c:pt>
                <c:pt idx="49">
                  <c:v>3</c:v>
                </c:pt>
                <c:pt idx="50">
                  <c:v>5</c:v>
                </c:pt>
                <c:pt idx="51">
                  <c:v>2</c:v>
                </c:pt>
                <c:pt idx="52">
                  <c:v>4</c:v>
                </c:pt>
                <c:pt idx="53">
                  <c:v>4</c:v>
                </c:pt>
                <c:pt idx="54">
                  <c:v>5</c:v>
                </c:pt>
                <c:pt idx="55">
                  <c:v>2</c:v>
                </c:pt>
                <c:pt idx="56">
                  <c:v>5</c:v>
                </c:pt>
                <c:pt idx="57">
                  <c:v>6</c:v>
                </c:pt>
                <c:pt idx="58">
                  <c:v>3</c:v>
                </c:pt>
                <c:pt idx="59">
                  <c:v>2</c:v>
                </c:pt>
                <c:pt idx="60">
                  <c:v>3</c:v>
                </c:pt>
                <c:pt idx="61">
                  <c:v>4</c:v>
                </c:pt>
                <c:pt idx="62">
                  <c:v>4</c:v>
                </c:pt>
                <c:pt idx="63">
                  <c:v>4</c:v>
                </c:pt>
                <c:pt idx="64">
                  <c:v>5</c:v>
                </c:pt>
                <c:pt idx="65">
                  <c:v>4</c:v>
                </c:pt>
                <c:pt idx="66">
                  <c:v>5</c:v>
                </c:pt>
                <c:pt idx="67">
                  <c:v>4</c:v>
                </c:pt>
                <c:pt idx="68">
                  <c:v>4</c:v>
                </c:pt>
                <c:pt idx="69">
                  <c:v>4</c:v>
                </c:pt>
                <c:pt idx="70">
                  <c:v>5</c:v>
                </c:pt>
                <c:pt idx="71">
                  <c:v>4</c:v>
                </c:pt>
                <c:pt idx="72">
                  <c:v>4</c:v>
                </c:pt>
                <c:pt idx="73">
                  <c:v>2</c:v>
                </c:pt>
                <c:pt idx="74">
                  <c:v>4</c:v>
                </c:pt>
                <c:pt idx="75">
                  <c:v>5</c:v>
                </c:pt>
                <c:pt idx="76">
                  <c:v>5</c:v>
                </c:pt>
                <c:pt idx="77">
                  <c:v>5</c:v>
                </c:pt>
                <c:pt idx="78">
                  <c:v>4</c:v>
                </c:pt>
                <c:pt idx="79">
                  <c:v>4</c:v>
                </c:pt>
                <c:pt idx="80">
                  <c:v>3</c:v>
                </c:pt>
                <c:pt idx="81">
                  <c:v>2</c:v>
                </c:pt>
                <c:pt idx="82">
                  <c:v>6</c:v>
                </c:pt>
                <c:pt idx="83">
                  <c:v>5</c:v>
                </c:pt>
                <c:pt idx="84">
                  <c:v>6</c:v>
                </c:pt>
                <c:pt idx="85">
                  <c:v>5</c:v>
                </c:pt>
                <c:pt idx="86">
                  <c:v>3</c:v>
                </c:pt>
                <c:pt idx="87">
                  <c:v>3</c:v>
                </c:pt>
                <c:pt idx="88">
                  <c:v>6</c:v>
                </c:pt>
                <c:pt idx="89">
                  <c:v>2</c:v>
                </c:pt>
                <c:pt idx="90">
                  <c:v>4</c:v>
                </c:pt>
                <c:pt idx="91">
                  <c:v>4</c:v>
                </c:pt>
                <c:pt idx="92">
                  <c:v>5</c:v>
                </c:pt>
                <c:pt idx="93">
                  <c:v>2</c:v>
                </c:pt>
                <c:pt idx="94">
                  <c:v>4</c:v>
                </c:pt>
                <c:pt idx="95">
                  <c:v>6</c:v>
                </c:pt>
                <c:pt idx="96">
                  <c:v>5</c:v>
                </c:pt>
                <c:pt idx="97">
                  <c:v>6</c:v>
                </c:pt>
                <c:pt idx="98">
                  <c:v>5</c:v>
                </c:pt>
                <c:pt idx="99">
                  <c:v>2</c:v>
                </c:pt>
                <c:pt idx="100">
                  <c:v>3</c:v>
                </c:pt>
                <c:pt idx="101">
                  <c:v>5</c:v>
                </c:pt>
                <c:pt idx="102">
                  <c:v>5</c:v>
                </c:pt>
                <c:pt idx="103">
                  <c:v>3</c:v>
                </c:pt>
                <c:pt idx="104">
                  <c:v>6</c:v>
                </c:pt>
                <c:pt idx="105">
                  <c:v>2</c:v>
                </c:pt>
                <c:pt idx="106">
                  <c:v>2</c:v>
                </c:pt>
                <c:pt idx="107">
                  <c:v>2</c:v>
                </c:pt>
                <c:pt idx="108">
                  <c:v>6</c:v>
                </c:pt>
                <c:pt idx="109">
                  <c:v>4</c:v>
                </c:pt>
                <c:pt idx="110">
                  <c:v>2</c:v>
                </c:pt>
                <c:pt idx="111">
                  <c:v>3</c:v>
                </c:pt>
                <c:pt idx="112">
                  <c:v>3</c:v>
                </c:pt>
                <c:pt idx="113">
                  <c:v>5</c:v>
                </c:pt>
                <c:pt idx="114">
                  <c:v>4</c:v>
                </c:pt>
                <c:pt idx="115">
                  <c:v>6</c:v>
                </c:pt>
                <c:pt idx="116">
                  <c:v>5</c:v>
                </c:pt>
                <c:pt idx="117">
                  <c:v>4</c:v>
                </c:pt>
                <c:pt idx="118">
                  <c:v>6</c:v>
                </c:pt>
                <c:pt idx="119">
                  <c:v>2</c:v>
                </c:pt>
                <c:pt idx="120">
                  <c:v>2</c:v>
                </c:pt>
                <c:pt idx="121">
                  <c:v>6</c:v>
                </c:pt>
                <c:pt idx="122">
                  <c:v>4</c:v>
                </c:pt>
                <c:pt idx="123">
                  <c:v>4</c:v>
                </c:pt>
                <c:pt idx="124">
                  <c:v>2</c:v>
                </c:pt>
                <c:pt idx="125">
                  <c:v>6</c:v>
                </c:pt>
                <c:pt idx="126">
                  <c:v>6</c:v>
                </c:pt>
                <c:pt idx="127">
                  <c:v>3</c:v>
                </c:pt>
                <c:pt idx="128">
                  <c:v>5</c:v>
                </c:pt>
                <c:pt idx="129">
                  <c:v>4</c:v>
                </c:pt>
                <c:pt idx="130">
                  <c:v>2</c:v>
                </c:pt>
                <c:pt idx="131">
                  <c:v>6</c:v>
                </c:pt>
                <c:pt idx="132">
                  <c:v>5</c:v>
                </c:pt>
                <c:pt idx="133">
                  <c:v>3</c:v>
                </c:pt>
                <c:pt idx="134">
                  <c:v>2</c:v>
                </c:pt>
                <c:pt idx="135">
                  <c:v>5</c:v>
                </c:pt>
                <c:pt idx="136">
                  <c:v>3</c:v>
                </c:pt>
                <c:pt idx="137">
                  <c:v>2</c:v>
                </c:pt>
                <c:pt idx="138">
                  <c:v>6</c:v>
                </c:pt>
                <c:pt idx="139">
                  <c:v>5</c:v>
                </c:pt>
                <c:pt idx="140">
                  <c:v>6</c:v>
                </c:pt>
                <c:pt idx="141">
                  <c:v>6</c:v>
                </c:pt>
                <c:pt idx="142">
                  <c:v>4</c:v>
                </c:pt>
                <c:pt idx="143">
                  <c:v>3</c:v>
                </c:pt>
                <c:pt idx="144">
                  <c:v>4</c:v>
                </c:pt>
                <c:pt idx="145">
                  <c:v>5</c:v>
                </c:pt>
                <c:pt idx="146">
                  <c:v>2</c:v>
                </c:pt>
                <c:pt idx="147">
                  <c:v>2</c:v>
                </c:pt>
                <c:pt idx="148">
                  <c:v>3</c:v>
                </c:pt>
                <c:pt idx="149">
                  <c:v>2</c:v>
                </c:pt>
                <c:pt idx="150">
                  <c:v>3</c:v>
                </c:pt>
                <c:pt idx="151">
                  <c:v>2</c:v>
                </c:pt>
                <c:pt idx="152">
                  <c:v>2</c:v>
                </c:pt>
                <c:pt idx="153">
                  <c:v>2</c:v>
                </c:pt>
                <c:pt idx="154">
                  <c:v>5</c:v>
                </c:pt>
                <c:pt idx="155">
                  <c:v>3</c:v>
                </c:pt>
                <c:pt idx="156">
                  <c:v>5</c:v>
                </c:pt>
                <c:pt idx="157">
                  <c:v>5</c:v>
                </c:pt>
                <c:pt idx="158">
                  <c:v>2</c:v>
                </c:pt>
                <c:pt idx="159">
                  <c:v>6</c:v>
                </c:pt>
                <c:pt idx="160">
                  <c:v>2</c:v>
                </c:pt>
                <c:pt idx="161">
                  <c:v>2</c:v>
                </c:pt>
                <c:pt idx="162">
                  <c:v>4</c:v>
                </c:pt>
                <c:pt idx="163">
                  <c:v>4</c:v>
                </c:pt>
                <c:pt idx="164">
                  <c:v>5</c:v>
                </c:pt>
                <c:pt idx="165">
                  <c:v>5</c:v>
                </c:pt>
                <c:pt idx="166">
                  <c:v>6</c:v>
                </c:pt>
                <c:pt idx="167">
                  <c:v>4</c:v>
                </c:pt>
                <c:pt idx="168">
                  <c:v>6</c:v>
                </c:pt>
                <c:pt idx="169">
                  <c:v>3</c:v>
                </c:pt>
                <c:pt idx="170">
                  <c:v>6</c:v>
                </c:pt>
                <c:pt idx="171">
                  <c:v>3</c:v>
                </c:pt>
                <c:pt idx="172">
                  <c:v>3</c:v>
                </c:pt>
                <c:pt idx="173">
                  <c:v>6</c:v>
                </c:pt>
                <c:pt idx="174">
                  <c:v>4</c:v>
                </c:pt>
                <c:pt idx="175">
                  <c:v>3</c:v>
                </c:pt>
                <c:pt idx="176">
                  <c:v>5</c:v>
                </c:pt>
                <c:pt idx="177">
                  <c:v>6</c:v>
                </c:pt>
                <c:pt idx="178">
                  <c:v>3</c:v>
                </c:pt>
                <c:pt idx="179">
                  <c:v>5</c:v>
                </c:pt>
                <c:pt idx="180">
                  <c:v>6</c:v>
                </c:pt>
                <c:pt idx="181">
                  <c:v>6</c:v>
                </c:pt>
                <c:pt idx="182">
                  <c:v>2</c:v>
                </c:pt>
                <c:pt idx="183">
                  <c:v>2</c:v>
                </c:pt>
                <c:pt idx="184">
                  <c:v>2</c:v>
                </c:pt>
                <c:pt idx="185">
                  <c:v>6</c:v>
                </c:pt>
                <c:pt idx="186">
                  <c:v>6</c:v>
                </c:pt>
                <c:pt idx="187">
                  <c:v>6</c:v>
                </c:pt>
                <c:pt idx="188">
                  <c:v>4</c:v>
                </c:pt>
                <c:pt idx="189">
                  <c:v>3</c:v>
                </c:pt>
                <c:pt idx="190">
                  <c:v>3</c:v>
                </c:pt>
                <c:pt idx="191">
                  <c:v>5</c:v>
                </c:pt>
                <c:pt idx="192">
                  <c:v>5</c:v>
                </c:pt>
                <c:pt idx="193">
                  <c:v>4</c:v>
                </c:pt>
                <c:pt idx="194">
                  <c:v>4</c:v>
                </c:pt>
                <c:pt idx="195">
                  <c:v>6</c:v>
                </c:pt>
                <c:pt idx="196">
                  <c:v>6</c:v>
                </c:pt>
                <c:pt idx="197">
                  <c:v>4</c:v>
                </c:pt>
                <c:pt idx="198">
                  <c:v>3</c:v>
                </c:pt>
                <c:pt idx="199">
                  <c:v>6</c:v>
                </c:pt>
                <c:pt idx="200">
                  <c:v>4</c:v>
                </c:pt>
                <c:pt idx="201">
                  <c:v>3</c:v>
                </c:pt>
                <c:pt idx="202">
                  <c:v>3</c:v>
                </c:pt>
                <c:pt idx="203">
                  <c:v>4</c:v>
                </c:pt>
                <c:pt idx="204">
                  <c:v>2</c:v>
                </c:pt>
                <c:pt idx="205">
                  <c:v>2</c:v>
                </c:pt>
                <c:pt idx="206">
                  <c:v>5</c:v>
                </c:pt>
                <c:pt idx="207">
                  <c:v>6</c:v>
                </c:pt>
                <c:pt idx="208">
                  <c:v>4</c:v>
                </c:pt>
                <c:pt idx="209">
                  <c:v>6</c:v>
                </c:pt>
                <c:pt idx="210">
                  <c:v>6</c:v>
                </c:pt>
                <c:pt idx="211">
                  <c:v>2</c:v>
                </c:pt>
                <c:pt idx="212">
                  <c:v>4</c:v>
                </c:pt>
                <c:pt idx="213">
                  <c:v>2</c:v>
                </c:pt>
                <c:pt idx="214">
                  <c:v>5</c:v>
                </c:pt>
                <c:pt idx="215">
                  <c:v>2</c:v>
                </c:pt>
                <c:pt idx="216">
                  <c:v>2</c:v>
                </c:pt>
                <c:pt idx="217">
                  <c:v>4</c:v>
                </c:pt>
                <c:pt idx="218">
                  <c:v>2</c:v>
                </c:pt>
                <c:pt idx="219">
                  <c:v>2</c:v>
                </c:pt>
                <c:pt idx="220">
                  <c:v>4</c:v>
                </c:pt>
                <c:pt idx="221">
                  <c:v>2</c:v>
                </c:pt>
                <c:pt idx="222">
                  <c:v>3</c:v>
                </c:pt>
                <c:pt idx="223">
                  <c:v>3</c:v>
                </c:pt>
                <c:pt idx="224">
                  <c:v>6</c:v>
                </c:pt>
                <c:pt idx="225">
                  <c:v>2</c:v>
                </c:pt>
                <c:pt idx="226">
                  <c:v>5</c:v>
                </c:pt>
                <c:pt idx="227">
                  <c:v>5</c:v>
                </c:pt>
                <c:pt idx="228">
                  <c:v>3</c:v>
                </c:pt>
                <c:pt idx="229">
                  <c:v>3</c:v>
                </c:pt>
                <c:pt idx="230">
                  <c:v>2</c:v>
                </c:pt>
                <c:pt idx="231">
                  <c:v>3</c:v>
                </c:pt>
                <c:pt idx="232">
                  <c:v>6</c:v>
                </c:pt>
                <c:pt idx="233">
                  <c:v>3</c:v>
                </c:pt>
                <c:pt idx="234">
                  <c:v>6</c:v>
                </c:pt>
                <c:pt idx="235">
                  <c:v>3</c:v>
                </c:pt>
                <c:pt idx="236">
                  <c:v>2</c:v>
                </c:pt>
                <c:pt idx="237">
                  <c:v>2</c:v>
                </c:pt>
                <c:pt idx="238">
                  <c:v>3</c:v>
                </c:pt>
                <c:pt idx="239">
                  <c:v>2</c:v>
                </c:pt>
                <c:pt idx="240">
                  <c:v>6</c:v>
                </c:pt>
                <c:pt idx="241">
                  <c:v>6</c:v>
                </c:pt>
                <c:pt idx="242">
                  <c:v>4</c:v>
                </c:pt>
                <c:pt idx="243">
                  <c:v>4</c:v>
                </c:pt>
                <c:pt idx="244">
                  <c:v>4</c:v>
                </c:pt>
                <c:pt idx="245">
                  <c:v>2</c:v>
                </c:pt>
                <c:pt idx="246">
                  <c:v>2</c:v>
                </c:pt>
                <c:pt idx="247">
                  <c:v>2</c:v>
                </c:pt>
                <c:pt idx="248">
                  <c:v>6</c:v>
                </c:pt>
                <c:pt idx="249">
                  <c:v>2</c:v>
                </c:pt>
                <c:pt idx="250">
                  <c:v>6</c:v>
                </c:pt>
                <c:pt idx="251">
                  <c:v>5</c:v>
                </c:pt>
                <c:pt idx="252">
                  <c:v>5</c:v>
                </c:pt>
                <c:pt idx="253">
                  <c:v>6</c:v>
                </c:pt>
                <c:pt idx="254">
                  <c:v>5</c:v>
                </c:pt>
                <c:pt idx="255">
                  <c:v>3</c:v>
                </c:pt>
                <c:pt idx="256">
                  <c:v>6</c:v>
                </c:pt>
                <c:pt idx="257">
                  <c:v>6</c:v>
                </c:pt>
                <c:pt idx="258">
                  <c:v>3</c:v>
                </c:pt>
                <c:pt idx="259">
                  <c:v>6</c:v>
                </c:pt>
                <c:pt idx="260">
                  <c:v>3</c:v>
                </c:pt>
                <c:pt idx="261">
                  <c:v>2</c:v>
                </c:pt>
                <c:pt idx="262">
                  <c:v>3</c:v>
                </c:pt>
                <c:pt idx="263">
                  <c:v>3</c:v>
                </c:pt>
                <c:pt idx="264">
                  <c:v>3</c:v>
                </c:pt>
                <c:pt idx="265">
                  <c:v>5</c:v>
                </c:pt>
                <c:pt idx="266">
                  <c:v>6</c:v>
                </c:pt>
                <c:pt idx="267">
                  <c:v>4</c:v>
                </c:pt>
                <c:pt idx="268">
                  <c:v>2</c:v>
                </c:pt>
                <c:pt idx="269">
                  <c:v>6</c:v>
                </c:pt>
                <c:pt idx="270">
                  <c:v>5</c:v>
                </c:pt>
                <c:pt idx="271">
                  <c:v>6</c:v>
                </c:pt>
                <c:pt idx="272">
                  <c:v>3</c:v>
                </c:pt>
                <c:pt idx="273">
                  <c:v>5</c:v>
                </c:pt>
                <c:pt idx="274">
                  <c:v>2</c:v>
                </c:pt>
                <c:pt idx="275">
                  <c:v>4</c:v>
                </c:pt>
                <c:pt idx="276">
                  <c:v>3</c:v>
                </c:pt>
                <c:pt idx="277">
                  <c:v>6</c:v>
                </c:pt>
                <c:pt idx="278">
                  <c:v>4</c:v>
                </c:pt>
                <c:pt idx="279">
                  <c:v>2</c:v>
                </c:pt>
                <c:pt idx="280">
                  <c:v>3</c:v>
                </c:pt>
                <c:pt idx="281">
                  <c:v>3</c:v>
                </c:pt>
                <c:pt idx="282">
                  <c:v>2</c:v>
                </c:pt>
                <c:pt idx="283">
                  <c:v>2</c:v>
                </c:pt>
                <c:pt idx="284">
                  <c:v>6</c:v>
                </c:pt>
                <c:pt idx="285">
                  <c:v>6</c:v>
                </c:pt>
                <c:pt idx="286">
                  <c:v>5</c:v>
                </c:pt>
                <c:pt idx="287">
                  <c:v>4</c:v>
                </c:pt>
                <c:pt idx="288">
                  <c:v>6</c:v>
                </c:pt>
                <c:pt idx="289">
                  <c:v>3</c:v>
                </c:pt>
                <c:pt idx="290">
                  <c:v>4</c:v>
                </c:pt>
                <c:pt idx="291">
                  <c:v>4</c:v>
                </c:pt>
                <c:pt idx="292">
                  <c:v>3</c:v>
                </c:pt>
                <c:pt idx="293">
                  <c:v>6</c:v>
                </c:pt>
                <c:pt idx="294">
                  <c:v>6</c:v>
                </c:pt>
                <c:pt idx="295">
                  <c:v>5</c:v>
                </c:pt>
                <c:pt idx="296">
                  <c:v>6</c:v>
                </c:pt>
                <c:pt idx="297">
                  <c:v>6</c:v>
                </c:pt>
                <c:pt idx="298">
                  <c:v>5</c:v>
                </c:pt>
                <c:pt idx="299">
                  <c:v>2</c:v>
                </c:pt>
                <c:pt idx="300">
                  <c:v>6</c:v>
                </c:pt>
                <c:pt idx="301">
                  <c:v>3</c:v>
                </c:pt>
                <c:pt idx="302">
                  <c:v>6</c:v>
                </c:pt>
                <c:pt idx="303">
                  <c:v>5</c:v>
                </c:pt>
                <c:pt idx="304">
                  <c:v>3</c:v>
                </c:pt>
                <c:pt idx="305">
                  <c:v>2</c:v>
                </c:pt>
                <c:pt idx="306">
                  <c:v>5</c:v>
                </c:pt>
                <c:pt idx="307">
                  <c:v>6</c:v>
                </c:pt>
                <c:pt idx="308">
                  <c:v>4</c:v>
                </c:pt>
                <c:pt idx="309">
                  <c:v>2</c:v>
                </c:pt>
                <c:pt idx="310">
                  <c:v>5</c:v>
                </c:pt>
                <c:pt idx="311">
                  <c:v>3</c:v>
                </c:pt>
                <c:pt idx="312">
                  <c:v>5</c:v>
                </c:pt>
                <c:pt idx="313">
                  <c:v>2</c:v>
                </c:pt>
                <c:pt idx="314">
                  <c:v>3</c:v>
                </c:pt>
                <c:pt idx="315">
                  <c:v>2</c:v>
                </c:pt>
                <c:pt idx="316">
                  <c:v>6</c:v>
                </c:pt>
                <c:pt idx="317">
                  <c:v>5</c:v>
                </c:pt>
                <c:pt idx="318">
                  <c:v>2</c:v>
                </c:pt>
                <c:pt idx="319">
                  <c:v>5</c:v>
                </c:pt>
                <c:pt idx="320">
                  <c:v>5</c:v>
                </c:pt>
                <c:pt idx="321">
                  <c:v>2</c:v>
                </c:pt>
                <c:pt idx="322">
                  <c:v>4</c:v>
                </c:pt>
                <c:pt idx="323">
                  <c:v>3</c:v>
                </c:pt>
                <c:pt idx="324">
                  <c:v>3</c:v>
                </c:pt>
                <c:pt idx="325">
                  <c:v>3</c:v>
                </c:pt>
                <c:pt idx="326">
                  <c:v>3</c:v>
                </c:pt>
                <c:pt idx="327">
                  <c:v>4</c:v>
                </c:pt>
                <c:pt idx="328">
                  <c:v>2</c:v>
                </c:pt>
                <c:pt idx="329">
                  <c:v>3</c:v>
                </c:pt>
                <c:pt idx="330">
                  <c:v>3</c:v>
                </c:pt>
                <c:pt idx="331">
                  <c:v>3</c:v>
                </c:pt>
                <c:pt idx="332">
                  <c:v>4</c:v>
                </c:pt>
                <c:pt idx="333">
                  <c:v>5</c:v>
                </c:pt>
                <c:pt idx="334">
                  <c:v>6</c:v>
                </c:pt>
                <c:pt idx="335">
                  <c:v>2</c:v>
                </c:pt>
                <c:pt idx="336">
                  <c:v>3</c:v>
                </c:pt>
                <c:pt idx="337">
                  <c:v>2</c:v>
                </c:pt>
                <c:pt idx="338">
                  <c:v>4</c:v>
                </c:pt>
                <c:pt idx="339">
                  <c:v>5</c:v>
                </c:pt>
                <c:pt idx="340">
                  <c:v>5</c:v>
                </c:pt>
                <c:pt idx="341">
                  <c:v>3</c:v>
                </c:pt>
                <c:pt idx="342">
                  <c:v>6</c:v>
                </c:pt>
                <c:pt idx="343">
                  <c:v>4</c:v>
                </c:pt>
                <c:pt idx="344">
                  <c:v>4</c:v>
                </c:pt>
                <c:pt idx="345">
                  <c:v>5</c:v>
                </c:pt>
                <c:pt idx="346">
                  <c:v>3</c:v>
                </c:pt>
                <c:pt idx="347">
                  <c:v>6</c:v>
                </c:pt>
                <c:pt idx="348">
                  <c:v>6</c:v>
                </c:pt>
                <c:pt idx="349">
                  <c:v>2</c:v>
                </c:pt>
                <c:pt idx="350">
                  <c:v>2</c:v>
                </c:pt>
                <c:pt idx="351">
                  <c:v>5</c:v>
                </c:pt>
                <c:pt idx="352">
                  <c:v>6</c:v>
                </c:pt>
                <c:pt idx="353">
                  <c:v>3</c:v>
                </c:pt>
                <c:pt idx="354">
                  <c:v>2</c:v>
                </c:pt>
                <c:pt idx="355">
                  <c:v>2</c:v>
                </c:pt>
                <c:pt idx="356">
                  <c:v>6</c:v>
                </c:pt>
                <c:pt idx="357">
                  <c:v>3</c:v>
                </c:pt>
                <c:pt idx="358">
                  <c:v>6</c:v>
                </c:pt>
                <c:pt idx="359">
                  <c:v>3</c:v>
                </c:pt>
                <c:pt idx="360">
                  <c:v>5</c:v>
                </c:pt>
                <c:pt idx="361">
                  <c:v>5</c:v>
                </c:pt>
                <c:pt idx="362">
                  <c:v>3</c:v>
                </c:pt>
                <c:pt idx="363">
                  <c:v>5</c:v>
                </c:pt>
                <c:pt idx="364">
                  <c:v>6</c:v>
                </c:pt>
                <c:pt idx="365">
                  <c:v>2</c:v>
                </c:pt>
                <c:pt idx="366">
                  <c:v>6</c:v>
                </c:pt>
                <c:pt idx="367">
                  <c:v>4</c:v>
                </c:pt>
                <c:pt idx="368">
                  <c:v>4</c:v>
                </c:pt>
                <c:pt idx="369">
                  <c:v>5</c:v>
                </c:pt>
                <c:pt idx="370">
                  <c:v>3</c:v>
                </c:pt>
                <c:pt idx="371">
                  <c:v>4</c:v>
                </c:pt>
                <c:pt idx="372">
                  <c:v>2</c:v>
                </c:pt>
                <c:pt idx="373">
                  <c:v>6</c:v>
                </c:pt>
                <c:pt idx="374">
                  <c:v>6</c:v>
                </c:pt>
                <c:pt idx="375">
                  <c:v>2</c:v>
                </c:pt>
                <c:pt idx="376">
                  <c:v>4</c:v>
                </c:pt>
                <c:pt idx="377">
                  <c:v>3</c:v>
                </c:pt>
                <c:pt idx="378">
                  <c:v>3</c:v>
                </c:pt>
                <c:pt idx="379">
                  <c:v>5</c:v>
                </c:pt>
                <c:pt idx="380">
                  <c:v>5</c:v>
                </c:pt>
                <c:pt idx="381">
                  <c:v>2</c:v>
                </c:pt>
                <c:pt idx="382">
                  <c:v>2</c:v>
                </c:pt>
                <c:pt idx="383">
                  <c:v>5</c:v>
                </c:pt>
                <c:pt idx="384">
                  <c:v>6</c:v>
                </c:pt>
                <c:pt idx="385">
                  <c:v>2</c:v>
                </c:pt>
                <c:pt idx="386">
                  <c:v>3</c:v>
                </c:pt>
                <c:pt idx="387">
                  <c:v>5</c:v>
                </c:pt>
                <c:pt idx="388">
                  <c:v>4</c:v>
                </c:pt>
                <c:pt idx="389">
                  <c:v>4</c:v>
                </c:pt>
                <c:pt idx="390">
                  <c:v>2</c:v>
                </c:pt>
                <c:pt idx="391">
                  <c:v>2</c:v>
                </c:pt>
                <c:pt idx="392">
                  <c:v>4</c:v>
                </c:pt>
                <c:pt idx="393">
                  <c:v>5</c:v>
                </c:pt>
                <c:pt idx="394">
                  <c:v>6</c:v>
                </c:pt>
                <c:pt idx="395">
                  <c:v>6</c:v>
                </c:pt>
                <c:pt idx="396">
                  <c:v>5</c:v>
                </c:pt>
                <c:pt idx="397">
                  <c:v>3</c:v>
                </c:pt>
                <c:pt idx="398">
                  <c:v>6</c:v>
                </c:pt>
                <c:pt idx="399">
                  <c:v>6</c:v>
                </c:pt>
                <c:pt idx="400">
                  <c:v>3</c:v>
                </c:pt>
                <c:pt idx="401">
                  <c:v>3</c:v>
                </c:pt>
                <c:pt idx="402">
                  <c:v>5</c:v>
                </c:pt>
                <c:pt idx="403">
                  <c:v>5</c:v>
                </c:pt>
                <c:pt idx="404">
                  <c:v>2</c:v>
                </c:pt>
                <c:pt idx="405">
                  <c:v>3</c:v>
                </c:pt>
                <c:pt idx="406">
                  <c:v>6</c:v>
                </c:pt>
                <c:pt idx="407">
                  <c:v>2</c:v>
                </c:pt>
                <c:pt idx="408">
                  <c:v>5</c:v>
                </c:pt>
                <c:pt idx="409">
                  <c:v>6</c:v>
                </c:pt>
                <c:pt idx="410">
                  <c:v>6</c:v>
                </c:pt>
                <c:pt idx="411">
                  <c:v>6</c:v>
                </c:pt>
                <c:pt idx="412">
                  <c:v>6</c:v>
                </c:pt>
                <c:pt idx="413">
                  <c:v>5</c:v>
                </c:pt>
                <c:pt idx="414">
                  <c:v>4</c:v>
                </c:pt>
                <c:pt idx="415">
                  <c:v>3</c:v>
                </c:pt>
                <c:pt idx="416">
                  <c:v>3</c:v>
                </c:pt>
                <c:pt idx="417">
                  <c:v>3</c:v>
                </c:pt>
                <c:pt idx="418">
                  <c:v>5</c:v>
                </c:pt>
                <c:pt idx="419">
                  <c:v>5</c:v>
                </c:pt>
                <c:pt idx="420">
                  <c:v>4</c:v>
                </c:pt>
                <c:pt idx="421">
                  <c:v>3</c:v>
                </c:pt>
                <c:pt idx="422">
                  <c:v>4</c:v>
                </c:pt>
                <c:pt idx="423">
                  <c:v>3</c:v>
                </c:pt>
                <c:pt idx="424">
                  <c:v>3</c:v>
                </c:pt>
                <c:pt idx="425">
                  <c:v>5</c:v>
                </c:pt>
                <c:pt idx="426">
                  <c:v>5</c:v>
                </c:pt>
                <c:pt idx="427">
                  <c:v>4</c:v>
                </c:pt>
                <c:pt idx="428">
                  <c:v>3</c:v>
                </c:pt>
                <c:pt idx="429">
                  <c:v>4</c:v>
                </c:pt>
                <c:pt idx="430">
                  <c:v>4</c:v>
                </c:pt>
                <c:pt idx="431">
                  <c:v>3</c:v>
                </c:pt>
                <c:pt idx="432">
                  <c:v>2</c:v>
                </c:pt>
                <c:pt idx="433">
                  <c:v>4</c:v>
                </c:pt>
                <c:pt idx="434">
                  <c:v>3</c:v>
                </c:pt>
                <c:pt idx="435">
                  <c:v>2</c:v>
                </c:pt>
                <c:pt idx="436">
                  <c:v>3</c:v>
                </c:pt>
                <c:pt idx="437">
                  <c:v>3</c:v>
                </c:pt>
                <c:pt idx="438">
                  <c:v>5</c:v>
                </c:pt>
                <c:pt idx="439">
                  <c:v>3</c:v>
                </c:pt>
                <c:pt idx="440">
                  <c:v>6</c:v>
                </c:pt>
                <c:pt idx="441">
                  <c:v>4</c:v>
                </c:pt>
                <c:pt idx="442">
                  <c:v>3</c:v>
                </c:pt>
                <c:pt idx="443">
                  <c:v>5</c:v>
                </c:pt>
                <c:pt idx="444">
                  <c:v>2</c:v>
                </c:pt>
                <c:pt idx="445">
                  <c:v>3</c:v>
                </c:pt>
                <c:pt idx="446">
                  <c:v>5</c:v>
                </c:pt>
                <c:pt idx="447">
                  <c:v>4</c:v>
                </c:pt>
                <c:pt idx="448">
                  <c:v>5</c:v>
                </c:pt>
                <c:pt idx="449">
                  <c:v>3</c:v>
                </c:pt>
                <c:pt idx="450">
                  <c:v>3</c:v>
                </c:pt>
                <c:pt idx="451">
                  <c:v>5</c:v>
                </c:pt>
                <c:pt idx="452">
                  <c:v>4</c:v>
                </c:pt>
                <c:pt idx="453">
                  <c:v>2</c:v>
                </c:pt>
                <c:pt idx="454">
                  <c:v>6</c:v>
                </c:pt>
                <c:pt idx="455">
                  <c:v>5</c:v>
                </c:pt>
                <c:pt idx="456">
                  <c:v>5</c:v>
                </c:pt>
                <c:pt idx="457">
                  <c:v>4</c:v>
                </c:pt>
                <c:pt idx="458">
                  <c:v>2</c:v>
                </c:pt>
                <c:pt idx="459">
                  <c:v>5</c:v>
                </c:pt>
                <c:pt idx="460">
                  <c:v>4</c:v>
                </c:pt>
                <c:pt idx="461">
                  <c:v>6</c:v>
                </c:pt>
                <c:pt idx="462">
                  <c:v>3</c:v>
                </c:pt>
                <c:pt idx="463">
                  <c:v>6</c:v>
                </c:pt>
                <c:pt idx="464">
                  <c:v>3</c:v>
                </c:pt>
                <c:pt idx="465">
                  <c:v>6</c:v>
                </c:pt>
                <c:pt idx="466">
                  <c:v>4</c:v>
                </c:pt>
                <c:pt idx="467">
                  <c:v>4</c:v>
                </c:pt>
                <c:pt idx="468">
                  <c:v>6</c:v>
                </c:pt>
                <c:pt idx="469">
                  <c:v>4</c:v>
                </c:pt>
                <c:pt idx="470">
                  <c:v>4</c:v>
                </c:pt>
                <c:pt idx="471">
                  <c:v>3</c:v>
                </c:pt>
                <c:pt idx="472">
                  <c:v>6</c:v>
                </c:pt>
                <c:pt idx="473">
                  <c:v>4</c:v>
                </c:pt>
                <c:pt idx="474">
                  <c:v>4</c:v>
                </c:pt>
                <c:pt idx="475">
                  <c:v>4</c:v>
                </c:pt>
                <c:pt idx="476">
                  <c:v>2</c:v>
                </c:pt>
                <c:pt idx="477">
                  <c:v>4</c:v>
                </c:pt>
                <c:pt idx="478">
                  <c:v>5</c:v>
                </c:pt>
                <c:pt idx="479">
                  <c:v>5</c:v>
                </c:pt>
                <c:pt idx="480">
                  <c:v>4</c:v>
                </c:pt>
                <c:pt idx="481">
                  <c:v>2</c:v>
                </c:pt>
                <c:pt idx="482">
                  <c:v>6</c:v>
                </c:pt>
                <c:pt idx="483">
                  <c:v>5</c:v>
                </c:pt>
                <c:pt idx="484">
                  <c:v>4</c:v>
                </c:pt>
                <c:pt idx="485">
                  <c:v>6</c:v>
                </c:pt>
                <c:pt idx="486">
                  <c:v>4</c:v>
                </c:pt>
                <c:pt idx="487">
                  <c:v>5</c:v>
                </c:pt>
                <c:pt idx="488">
                  <c:v>4</c:v>
                </c:pt>
                <c:pt idx="489">
                  <c:v>2</c:v>
                </c:pt>
                <c:pt idx="490">
                  <c:v>4</c:v>
                </c:pt>
                <c:pt idx="491">
                  <c:v>5</c:v>
                </c:pt>
                <c:pt idx="492">
                  <c:v>6</c:v>
                </c:pt>
                <c:pt idx="493">
                  <c:v>3</c:v>
                </c:pt>
                <c:pt idx="494">
                  <c:v>3</c:v>
                </c:pt>
                <c:pt idx="495">
                  <c:v>6</c:v>
                </c:pt>
                <c:pt idx="496">
                  <c:v>5</c:v>
                </c:pt>
                <c:pt idx="497">
                  <c:v>2</c:v>
                </c:pt>
                <c:pt idx="498">
                  <c:v>3</c:v>
                </c:pt>
                <c:pt idx="499">
                  <c:v>5</c:v>
                </c:pt>
                <c:pt idx="500">
                  <c:v>3</c:v>
                </c:pt>
                <c:pt idx="501">
                  <c:v>5</c:v>
                </c:pt>
                <c:pt idx="502">
                  <c:v>4</c:v>
                </c:pt>
                <c:pt idx="503">
                  <c:v>5</c:v>
                </c:pt>
                <c:pt idx="504">
                  <c:v>6</c:v>
                </c:pt>
                <c:pt idx="505">
                  <c:v>4</c:v>
                </c:pt>
                <c:pt idx="506">
                  <c:v>6</c:v>
                </c:pt>
                <c:pt idx="507">
                  <c:v>5</c:v>
                </c:pt>
                <c:pt idx="508">
                  <c:v>2</c:v>
                </c:pt>
                <c:pt idx="509">
                  <c:v>3</c:v>
                </c:pt>
                <c:pt idx="510">
                  <c:v>3</c:v>
                </c:pt>
                <c:pt idx="511">
                  <c:v>3</c:v>
                </c:pt>
                <c:pt idx="512">
                  <c:v>6</c:v>
                </c:pt>
                <c:pt idx="513">
                  <c:v>3</c:v>
                </c:pt>
                <c:pt idx="514">
                  <c:v>6</c:v>
                </c:pt>
                <c:pt idx="515">
                  <c:v>2</c:v>
                </c:pt>
                <c:pt idx="516">
                  <c:v>5</c:v>
                </c:pt>
                <c:pt idx="517">
                  <c:v>2</c:v>
                </c:pt>
                <c:pt idx="518">
                  <c:v>5</c:v>
                </c:pt>
                <c:pt idx="519">
                  <c:v>3</c:v>
                </c:pt>
                <c:pt idx="520">
                  <c:v>2</c:v>
                </c:pt>
                <c:pt idx="521">
                  <c:v>4</c:v>
                </c:pt>
                <c:pt idx="522">
                  <c:v>6</c:v>
                </c:pt>
                <c:pt idx="523">
                  <c:v>3</c:v>
                </c:pt>
                <c:pt idx="524">
                  <c:v>3</c:v>
                </c:pt>
                <c:pt idx="525">
                  <c:v>4</c:v>
                </c:pt>
                <c:pt idx="526">
                  <c:v>6</c:v>
                </c:pt>
                <c:pt idx="527">
                  <c:v>2</c:v>
                </c:pt>
                <c:pt idx="528">
                  <c:v>2</c:v>
                </c:pt>
                <c:pt idx="529">
                  <c:v>5</c:v>
                </c:pt>
                <c:pt idx="530">
                  <c:v>4</c:v>
                </c:pt>
                <c:pt idx="531">
                  <c:v>4</c:v>
                </c:pt>
                <c:pt idx="532">
                  <c:v>3</c:v>
                </c:pt>
                <c:pt idx="533">
                  <c:v>6</c:v>
                </c:pt>
                <c:pt idx="534">
                  <c:v>5</c:v>
                </c:pt>
                <c:pt idx="535">
                  <c:v>4</c:v>
                </c:pt>
                <c:pt idx="536">
                  <c:v>6</c:v>
                </c:pt>
                <c:pt idx="537">
                  <c:v>4</c:v>
                </c:pt>
                <c:pt idx="538">
                  <c:v>5</c:v>
                </c:pt>
                <c:pt idx="539">
                  <c:v>6</c:v>
                </c:pt>
                <c:pt idx="540">
                  <c:v>5</c:v>
                </c:pt>
                <c:pt idx="541">
                  <c:v>5</c:v>
                </c:pt>
                <c:pt idx="542">
                  <c:v>6</c:v>
                </c:pt>
                <c:pt idx="543">
                  <c:v>5</c:v>
                </c:pt>
                <c:pt idx="544">
                  <c:v>6</c:v>
                </c:pt>
                <c:pt idx="545">
                  <c:v>5</c:v>
                </c:pt>
                <c:pt idx="546">
                  <c:v>5</c:v>
                </c:pt>
                <c:pt idx="547">
                  <c:v>4</c:v>
                </c:pt>
                <c:pt idx="548">
                  <c:v>4</c:v>
                </c:pt>
                <c:pt idx="549">
                  <c:v>4</c:v>
                </c:pt>
                <c:pt idx="550">
                  <c:v>3</c:v>
                </c:pt>
                <c:pt idx="551">
                  <c:v>3</c:v>
                </c:pt>
                <c:pt idx="552">
                  <c:v>5</c:v>
                </c:pt>
                <c:pt idx="553">
                  <c:v>6</c:v>
                </c:pt>
                <c:pt idx="554">
                  <c:v>5</c:v>
                </c:pt>
                <c:pt idx="555">
                  <c:v>3</c:v>
                </c:pt>
                <c:pt idx="556">
                  <c:v>2</c:v>
                </c:pt>
                <c:pt idx="557">
                  <c:v>2</c:v>
                </c:pt>
                <c:pt idx="558">
                  <c:v>2</c:v>
                </c:pt>
                <c:pt idx="559">
                  <c:v>4</c:v>
                </c:pt>
                <c:pt idx="560">
                  <c:v>4</c:v>
                </c:pt>
                <c:pt idx="561">
                  <c:v>4</c:v>
                </c:pt>
                <c:pt idx="562">
                  <c:v>3</c:v>
                </c:pt>
                <c:pt idx="563">
                  <c:v>6</c:v>
                </c:pt>
                <c:pt idx="564">
                  <c:v>5</c:v>
                </c:pt>
                <c:pt idx="565">
                  <c:v>6</c:v>
                </c:pt>
                <c:pt idx="566">
                  <c:v>3</c:v>
                </c:pt>
                <c:pt idx="567">
                  <c:v>4</c:v>
                </c:pt>
                <c:pt idx="568">
                  <c:v>5</c:v>
                </c:pt>
                <c:pt idx="569">
                  <c:v>2</c:v>
                </c:pt>
                <c:pt idx="570">
                  <c:v>2</c:v>
                </c:pt>
                <c:pt idx="571">
                  <c:v>2</c:v>
                </c:pt>
                <c:pt idx="572">
                  <c:v>5</c:v>
                </c:pt>
                <c:pt idx="573">
                  <c:v>2</c:v>
                </c:pt>
                <c:pt idx="574">
                  <c:v>5</c:v>
                </c:pt>
                <c:pt idx="575">
                  <c:v>2</c:v>
                </c:pt>
                <c:pt idx="576">
                  <c:v>6</c:v>
                </c:pt>
                <c:pt idx="577">
                  <c:v>4</c:v>
                </c:pt>
                <c:pt idx="578">
                  <c:v>6</c:v>
                </c:pt>
                <c:pt idx="579">
                  <c:v>4</c:v>
                </c:pt>
                <c:pt idx="580">
                  <c:v>6</c:v>
                </c:pt>
                <c:pt idx="581">
                  <c:v>5</c:v>
                </c:pt>
                <c:pt idx="582">
                  <c:v>5</c:v>
                </c:pt>
                <c:pt idx="583">
                  <c:v>3</c:v>
                </c:pt>
                <c:pt idx="584">
                  <c:v>5</c:v>
                </c:pt>
                <c:pt idx="585">
                  <c:v>2</c:v>
                </c:pt>
                <c:pt idx="586">
                  <c:v>3</c:v>
                </c:pt>
                <c:pt idx="587">
                  <c:v>6</c:v>
                </c:pt>
                <c:pt idx="588">
                  <c:v>5</c:v>
                </c:pt>
                <c:pt idx="589">
                  <c:v>3</c:v>
                </c:pt>
                <c:pt idx="590">
                  <c:v>5</c:v>
                </c:pt>
                <c:pt idx="591">
                  <c:v>5</c:v>
                </c:pt>
                <c:pt idx="592">
                  <c:v>5</c:v>
                </c:pt>
                <c:pt idx="593">
                  <c:v>3</c:v>
                </c:pt>
                <c:pt idx="594">
                  <c:v>4</c:v>
                </c:pt>
                <c:pt idx="595">
                  <c:v>5</c:v>
                </c:pt>
                <c:pt idx="596">
                  <c:v>2</c:v>
                </c:pt>
                <c:pt idx="597">
                  <c:v>3</c:v>
                </c:pt>
                <c:pt idx="598">
                  <c:v>6</c:v>
                </c:pt>
                <c:pt idx="599">
                  <c:v>4</c:v>
                </c:pt>
                <c:pt idx="600">
                  <c:v>6</c:v>
                </c:pt>
                <c:pt idx="601">
                  <c:v>2</c:v>
                </c:pt>
                <c:pt idx="602">
                  <c:v>4</c:v>
                </c:pt>
                <c:pt idx="603">
                  <c:v>5</c:v>
                </c:pt>
                <c:pt idx="604">
                  <c:v>3</c:v>
                </c:pt>
                <c:pt idx="605">
                  <c:v>6</c:v>
                </c:pt>
                <c:pt idx="606">
                  <c:v>4</c:v>
                </c:pt>
                <c:pt idx="607">
                  <c:v>6</c:v>
                </c:pt>
                <c:pt idx="608">
                  <c:v>6</c:v>
                </c:pt>
                <c:pt idx="609">
                  <c:v>3</c:v>
                </c:pt>
                <c:pt idx="610">
                  <c:v>2</c:v>
                </c:pt>
                <c:pt idx="611">
                  <c:v>3</c:v>
                </c:pt>
                <c:pt idx="612">
                  <c:v>6</c:v>
                </c:pt>
                <c:pt idx="613">
                  <c:v>2</c:v>
                </c:pt>
                <c:pt idx="614">
                  <c:v>5</c:v>
                </c:pt>
                <c:pt idx="615">
                  <c:v>4</c:v>
                </c:pt>
                <c:pt idx="616">
                  <c:v>3</c:v>
                </c:pt>
                <c:pt idx="617">
                  <c:v>4</c:v>
                </c:pt>
                <c:pt idx="618">
                  <c:v>3</c:v>
                </c:pt>
                <c:pt idx="619">
                  <c:v>2</c:v>
                </c:pt>
                <c:pt idx="620">
                  <c:v>4</c:v>
                </c:pt>
                <c:pt idx="621">
                  <c:v>6</c:v>
                </c:pt>
                <c:pt idx="622">
                  <c:v>3</c:v>
                </c:pt>
                <c:pt idx="623">
                  <c:v>6</c:v>
                </c:pt>
                <c:pt idx="624">
                  <c:v>5</c:v>
                </c:pt>
                <c:pt idx="625">
                  <c:v>2</c:v>
                </c:pt>
                <c:pt idx="626">
                  <c:v>4</c:v>
                </c:pt>
                <c:pt idx="627">
                  <c:v>6</c:v>
                </c:pt>
                <c:pt idx="628">
                  <c:v>5</c:v>
                </c:pt>
                <c:pt idx="629">
                  <c:v>3</c:v>
                </c:pt>
                <c:pt idx="630">
                  <c:v>6</c:v>
                </c:pt>
                <c:pt idx="631">
                  <c:v>6</c:v>
                </c:pt>
                <c:pt idx="632">
                  <c:v>3</c:v>
                </c:pt>
                <c:pt idx="633">
                  <c:v>4</c:v>
                </c:pt>
                <c:pt idx="634">
                  <c:v>3</c:v>
                </c:pt>
                <c:pt idx="635">
                  <c:v>2</c:v>
                </c:pt>
                <c:pt idx="636">
                  <c:v>5</c:v>
                </c:pt>
                <c:pt idx="637">
                  <c:v>2</c:v>
                </c:pt>
                <c:pt idx="638">
                  <c:v>6</c:v>
                </c:pt>
                <c:pt idx="639">
                  <c:v>3</c:v>
                </c:pt>
                <c:pt idx="640">
                  <c:v>2</c:v>
                </c:pt>
                <c:pt idx="641">
                  <c:v>4</c:v>
                </c:pt>
                <c:pt idx="642">
                  <c:v>4</c:v>
                </c:pt>
                <c:pt idx="643">
                  <c:v>5</c:v>
                </c:pt>
                <c:pt idx="644">
                  <c:v>5</c:v>
                </c:pt>
                <c:pt idx="645">
                  <c:v>2</c:v>
                </c:pt>
                <c:pt idx="646">
                  <c:v>5</c:v>
                </c:pt>
                <c:pt idx="647">
                  <c:v>4</c:v>
                </c:pt>
                <c:pt idx="648">
                  <c:v>4</c:v>
                </c:pt>
                <c:pt idx="649">
                  <c:v>5</c:v>
                </c:pt>
                <c:pt idx="650">
                  <c:v>3</c:v>
                </c:pt>
                <c:pt idx="651">
                  <c:v>6</c:v>
                </c:pt>
                <c:pt idx="652">
                  <c:v>6</c:v>
                </c:pt>
                <c:pt idx="653">
                  <c:v>4</c:v>
                </c:pt>
                <c:pt idx="654">
                  <c:v>6</c:v>
                </c:pt>
                <c:pt idx="655">
                  <c:v>4</c:v>
                </c:pt>
                <c:pt idx="656">
                  <c:v>2</c:v>
                </c:pt>
                <c:pt idx="657">
                  <c:v>4</c:v>
                </c:pt>
                <c:pt idx="658">
                  <c:v>4</c:v>
                </c:pt>
                <c:pt idx="659">
                  <c:v>6</c:v>
                </c:pt>
                <c:pt idx="660">
                  <c:v>6</c:v>
                </c:pt>
                <c:pt idx="661">
                  <c:v>4</c:v>
                </c:pt>
                <c:pt idx="662">
                  <c:v>2</c:v>
                </c:pt>
                <c:pt idx="663">
                  <c:v>4</c:v>
                </c:pt>
                <c:pt idx="664">
                  <c:v>2</c:v>
                </c:pt>
                <c:pt idx="665">
                  <c:v>4</c:v>
                </c:pt>
                <c:pt idx="666">
                  <c:v>6</c:v>
                </c:pt>
                <c:pt idx="667">
                  <c:v>5</c:v>
                </c:pt>
                <c:pt idx="668">
                  <c:v>6</c:v>
                </c:pt>
                <c:pt idx="669">
                  <c:v>6</c:v>
                </c:pt>
                <c:pt idx="670">
                  <c:v>2</c:v>
                </c:pt>
                <c:pt idx="671">
                  <c:v>6</c:v>
                </c:pt>
                <c:pt idx="672">
                  <c:v>5</c:v>
                </c:pt>
                <c:pt idx="673">
                  <c:v>2</c:v>
                </c:pt>
                <c:pt idx="674">
                  <c:v>5</c:v>
                </c:pt>
                <c:pt idx="675">
                  <c:v>6</c:v>
                </c:pt>
                <c:pt idx="676">
                  <c:v>5</c:v>
                </c:pt>
                <c:pt idx="677">
                  <c:v>4</c:v>
                </c:pt>
                <c:pt idx="678">
                  <c:v>3</c:v>
                </c:pt>
                <c:pt idx="679">
                  <c:v>5</c:v>
                </c:pt>
                <c:pt idx="680">
                  <c:v>4</c:v>
                </c:pt>
                <c:pt idx="681">
                  <c:v>6</c:v>
                </c:pt>
                <c:pt idx="682">
                  <c:v>3</c:v>
                </c:pt>
                <c:pt idx="683">
                  <c:v>4</c:v>
                </c:pt>
                <c:pt idx="684">
                  <c:v>6</c:v>
                </c:pt>
                <c:pt idx="685">
                  <c:v>6</c:v>
                </c:pt>
                <c:pt idx="686">
                  <c:v>2</c:v>
                </c:pt>
                <c:pt idx="687">
                  <c:v>2</c:v>
                </c:pt>
                <c:pt idx="688">
                  <c:v>6</c:v>
                </c:pt>
                <c:pt idx="689">
                  <c:v>6</c:v>
                </c:pt>
                <c:pt idx="690">
                  <c:v>3</c:v>
                </c:pt>
                <c:pt idx="691">
                  <c:v>4</c:v>
                </c:pt>
                <c:pt idx="692">
                  <c:v>6</c:v>
                </c:pt>
                <c:pt idx="693">
                  <c:v>3</c:v>
                </c:pt>
                <c:pt idx="694">
                  <c:v>3</c:v>
                </c:pt>
                <c:pt idx="695">
                  <c:v>3</c:v>
                </c:pt>
                <c:pt idx="696">
                  <c:v>4</c:v>
                </c:pt>
                <c:pt idx="697">
                  <c:v>4</c:v>
                </c:pt>
                <c:pt idx="698">
                  <c:v>4</c:v>
                </c:pt>
                <c:pt idx="699">
                  <c:v>5</c:v>
                </c:pt>
                <c:pt idx="700">
                  <c:v>5</c:v>
                </c:pt>
                <c:pt idx="701">
                  <c:v>3</c:v>
                </c:pt>
                <c:pt idx="702">
                  <c:v>4</c:v>
                </c:pt>
                <c:pt idx="703">
                  <c:v>3</c:v>
                </c:pt>
                <c:pt idx="704">
                  <c:v>4</c:v>
                </c:pt>
                <c:pt idx="705">
                  <c:v>6</c:v>
                </c:pt>
                <c:pt idx="706">
                  <c:v>2</c:v>
                </c:pt>
                <c:pt idx="707">
                  <c:v>2</c:v>
                </c:pt>
                <c:pt idx="708">
                  <c:v>6</c:v>
                </c:pt>
                <c:pt idx="709">
                  <c:v>3</c:v>
                </c:pt>
                <c:pt idx="710">
                  <c:v>5</c:v>
                </c:pt>
                <c:pt idx="711">
                  <c:v>3</c:v>
                </c:pt>
                <c:pt idx="712">
                  <c:v>2</c:v>
                </c:pt>
                <c:pt idx="713">
                  <c:v>4</c:v>
                </c:pt>
                <c:pt idx="714">
                  <c:v>6</c:v>
                </c:pt>
                <c:pt idx="715">
                  <c:v>6</c:v>
                </c:pt>
                <c:pt idx="716">
                  <c:v>4</c:v>
                </c:pt>
                <c:pt idx="717">
                  <c:v>5</c:v>
                </c:pt>
                <c:pt idx="718">
                  <c:v>6</c:v>
                </c:pt>
                <c:pt idx="719">
                  <c:v>2</c:v>
                </c:pt>
                <c:pt idx="720">
                  <c:v>6</c:v>
                </c:pt>
                <c:pt idx="721">
                  <c:v>6</c:v>
                </c:pt>
                <c:pt idx="722">
                  <c:v>6</c:v>
                </c:pt>
                <c:pt idx="723">
                  <c:v>3</c:v>
                </c:pt>
                <c:pt idx="724">
                  <c:v>2</c:v>
                </c:pt>
                <c:pt idx="725">
                  <c:v>4</c:v>
                </c:pt>
                <c:pt idx="726">
                  <c:v>2</c:v>
                </c:pt>
                <c:pt idx="727">
                  <c:v>4</c:v>
                </c:pt>
                <c:pt idx="728">
                  <c:v>2</c:v>
                </c:pt>
                <c:pt idx="729">
                  <c:v>6</c:v>
                </c:pt>
                <c:pt idx="730">
                  <c:v>5</c:v>
                </c:pt>
                <c:pt idx="731">
                  <c:v>4</c:v>
                </c:pt>
                <c:pt idx="732">
                  <c:v>6</c:v>
                </c:pt>
                <c:pt idx="733">
                  <c:v>4</c:v>
                </c:pt>
                <c:pt idx="734">
                  <c:v>4</c:v>
                </c:pt>
                <c:pt idx="735">
                  <c:v>3</c:v>
                </c:pt>
                <c:pt idx="736">
                  <c:v>6</c:v>
                </c:pt>
                <c:pt idx="737">
                  <c:v>2</c:v>
                </c:pt>
                <c:pt idx="738">
                  <c:v>6</c:v>
                </c:pt>
                <c:pt idx="739">
                  <c:v>3</c:v>
                </c:pt>
                <c:pt idx="740">
                  <c:v>2</c:v>
                </c:pt>
                <c:pt idx="741">
                  <c:v>6</c:v>
                </c:pt>
                <c:pt idx="742">
                  <c:v>5</c:v>
                </c:pt>
                <c:pt idx="743">
                  <c:v>5</c:v>
                </c:pt>
                <c:pt idx="744">
                  <c:v>5</c:v>
                </c:pt>
                <c:pt idx="745">
                  <c:v>3</c:v>
                </c:pt>
                <c:pt idx="746">
                  <c:v>6</c:v>
                </c:pt>
                <c:pt idx="747">
                  <c:v>5</c:v>
                </c:pt>
                <c:pt idx="748">
                  <c:v>5</c:v>
                </c:pt>
                <c:pt idx="749">
                  <c:v>4</c:v>
                </c:pt>
                <c:pt idx="750">
                  <c:v>5</c:v>
                </c:pt>
                <c:pt idx="751">
                  <c:v>4</c:v>
                </c:pt>
                <c:pt idx="752">
                  <c:v>5</c:v>
                </c:pt>
                <c:pt idx="753">
                  <c:v>4</c:v>
                </c:pt>
                <c:pt idx="754">
                  <c:v>3</c:v>
                </c:pt>
                <c:pt idx="755">
                  <c:v>4</c:v>
                </c:pt>
                <c:pt idx="756">
                  <c:v>6</c:v>
                </c:pt>
                <c:pt idx="757">
                  <c:v>5</c:v>
                </c:pt>
                <c:pt idx="758">
                  <c:v>6</c:v>
                </c:pt>
                <c:pt idx="759">
                  <c:v>6</c:v>
                </c:pt>
                <c:pt idx="760">
                  <c:v>5</c:v>
                </c:pt>
                <c:pt idx="761">
                  <c:v>4</c:v>
                </c:pt>
                <c:pt idx="762">
                  <c:v>2</c:v>
                </c:pt>
                <c:pt idx="763">
                  <c:v>4</c:v>
                </c:pt>
                <c:pt idx="764">
                  <c:v>6</c:v>
                </c:pt>
                <c:pt idx="765">
                  <c:v>3</c:v>
                </c:pt>
                <c:pt idx="766">
                  <c:v>6</c:v>
                </c:pt>
                <c:pt idx="767">
                  <c:v>5</c:v>
                </c:pt>
                <c:pt idx="768">
                  <c:v>5</c:v>
                </c:pt>
                <c:pt idx="769">
                  <c:v>6</c:v>
                </c:pt>
                <c:pt idx="770">
                  <c:v>2</c:v>
                </c:pt>
                <c:pt idx="771">
                  <c:v>6</c:v>
                </c:pt>
                <c:pt idx="772">
                  <c:v>3</c:v>
                </c:pt>
                <c:pt idx="773">
                  <c:v>5</c:v>
                </c:pt>
                <c:pt idx="774">
                  <c:v>6</c:v>
                </c:pt>
                <c:pt idx="775">
                  <c:v>2</c:v>
                </c:pt>
                <c:pt idx="776">
                  <c:v>5</c:v>
                </c:pt>
                <c:pt idx="777">
                  <c:v>3</c:v>
                </c:pt>
                <c:pt idx="778">
                  <c:v>6</c:v>
                </c:pt>
                <c:pt idx="779">
                  <c:v>4</c:v>
                </c:pt>
                <c:pt idx="780">
                  <c:v>6</c:v>
                </c:pt>
                <c:pt idx="781">
                  <c:v>5</c:v>
                </c:pt>
                <c:pt idx="782">
                  <c:v>5</c:v>
                </c:pt>
                <c:pt idx="783">
                  <c:v>4</c:v>
                </c:pt>
                <c:pt idx="784">
                  <c:v>2</c:v>
                </c:pt>
                <c:pt idx="785">
                  <c:v>2</c:v>
                </c:pt>
                <c:pt idx="786">
                  <c:v>6</c:v>
                </c:pt>
                <c:pt idx="787">
                  <c:v>4</c:v>
                </c:pt>
                <c:pt idx="788">
                  <c:v>4</c:v>
                </c:pt>
                <c:pt idx="789">
                  <c:v>3</c:v>
                </c:pt>
                <c:pt idx="790">
                  <c:v>5</c:v>
                </c:pt>
                <c:pt idx="791">
                  <c:v>4</c:v>
                </c:pt>
                <c:pt idx="792">
                  <c:v>3</c:v>
                </c:pt>
                <c:pt idx="793">
                  <c:v>4</c:v>
                </c:pt>
                <c:pt idx="794">
                  <c:v>5</c:v>
                </c:pt>
                <c:pt idx="795">
                  <c:v>4</c:v>
                </c:pt>
                <c:pt idx="796">
                  <c:v>6</c:v>
                </c:pt>
                <c:pt idx="797">
                  <c:v>2</c:v>
                </c:pt>
                <c:pt idx="798">
                  <c:v>6</c:v>
                </c:pt>
                <c:pt idx="799">
                  <c:v>5</c:v>
                </c:pt>
                <c:pt idx="800">
                  <c:v>3</c:v>
                </c:pt>
                <c:pt idx="801">
                  <c:v>2</c:v>
                </c:pt>
                <c:pt idx="802">
                  <c:v>5</c:v>
                </c:pt>
                <c:pt idx="803">
                  <c:v>4</c:v>
                </c:pt>
                <c:pt idx="804">
                  <c:v>6</c:v>
                </c:pt>
                <c:pt idx="805">
                  <c:v>2</c:v>
                </c:pt>
                <c:pt idx="806">
                  <c:v>5</c:v>
                </c:pt>
                <c:pt idx="807">
                  <c:v>2</c:v>
                </c:pt>
                <c:pt idx="808">
                  <c:v>3</c:v>
                </c:pt>
                <c:pt idx="809">
                  <c:v>5</c:v>
                </c:pt>
                <c:pt idx="810">
                  <c:v>4</c:v>
                </c:pt>
                <c:pt idx="811">
                  <c:v>2</c:v>
                </c:pt>
                <c:pt idx="812">
                  <c:v>5</c:v>
                </c:pt>
                <c:pt idx="813">
                  <c:v>4</c:v>
                </c:pt>
                <c:pt idx="814">
                  <c:v>6</c:v>
                </c:pt>
                <c:pt idx="815">
                  <c:v>3</c:v>
                </c:pt>
                <c:pt idx="816">
                  <c:v>5</c:v>
                </c:pt>
                <c:pt idx="817">
                  <c:v>5</c:v>
                </c:pt>
                <c:pt idx="818">
                  <c:v>5</c:v>
                </c:pt>
                <c:pt idx="819">
                  <c:v>2</c:v>
                </c:pt>
                <c:pt idx="820">
                  <c:v>6</c:v>
                </c:pt>
                <c:pt idx="821">
                  <c:v>4</c:v>
                </c:pt>
                <c:pt idx="822">
                  <c:v>2</c:v>
                </c:pt>
                <c:pt idx="823">
                  <c:v>2</c:v>
                </c:pt>
                <c:pt idx="824">
                  <c:v>5</c:v>
                </c:pt>
                <c:pt idx="825">
                  <c:v>5</c:v>
                </c:pt>
                <c:pt idx="826">
                  <c:v>6</c:v>
                </c:pt>
                <c:pt idx="827">
                  <c:v>2</c:v>
                </c:pt>
                <c:pt idx="828">
                  <c:v>2</c:v>
                </c:pt>
                <c:pt idx="829">
                  <c:v>3</c:v>
                </c:pt>
                <c:pt idx="830">
                  <c:v>4</c:v>
                </c:pt>
                <c:pt idx="831">
                  <c:v>2</c:v>
                </c:pt>
                <c:pt idx="832">
                  <c:v>3</c:v>
                </c:pt>
                <c:pt idx="833">
                  <c:v>5</c:v>
                </c:pt>
                <c:pt idx="834">
                  <c:v>3</c:v>
                </c:pt>
                <c:pt idx="835">
                  <c:v>4</c:v>
                </c:pt>
                <c:pt idx="836">
                  <c:v>5</c:v>
                </c:pt>
                <c:pt idx="837">
                  <c:v>2</c:v>
                </c:pt>
                <c:pt idx="838">
                  <c:v>4</c:v>
                </c:pt>
                <c:pt idx="839">
                  <c:v>6</c:v>
                </c:pt>
                <c:pt idx="840">
                  <c:v>4</c:v>
                </c:pt>
                <c:pt idx="841">
                  <c:v>5</c:v>
                </c:pt>
                <c:pt idx="842">
                  <c:v>5</c:v>
                </c:pt>
                <c:pt idx="843">
                  <c:v>2</c:v>
                </c:pt>
                <c:pt idx="844">
                  <c:v>2</c:v>
                </c:pt>
                <c:pt idx="845">
                  <c:v>3</c:v>
                </c:pt>
                <c:pt idx="846">
                  <c:v>3</c:v>
                </c:pt>
                <c:pt idx="847">
                  <c:v>5</c:v>
                </c:pt>
                <c:pt idx="848">
                  <c:v>3</c:v>
                </c:pt>
                <c:pt idx="849">
                  <c:v>5</c:v>
                </c:pt>
                <c:pt idx="850">
                  <c:v>6</c:v>
                </c:pt>
                <c:pt idx="851">
                  <c:v>5</c:v>
                </c:pt>
                <c:pt idx="852">
                  <c:v>2</c:v>
                </c:pt>
                <c:pt idx="853">
                  <c:v>6</c:v>
                </c:pt>
                <c:pt idx="854">
                  <c:v>6</c:v>
                </c:pt>
                <c:pt idx="855">
                  <c:v>6</c:v>
                </c:pt>
                <c:pt idx="856">
                  <c:v>2</c:v>
                </c:pt>
                <c:pt idx="857">
                  <c:v>3</c:v>
                </c:pt>
                <c:pt idx="858">
                  <c:v>2</c:v>
                </c:pt>
                <c:pt idx="859">
                  <c:v>6</c:v>
                </c:pt>
                <c:pt idx="860">
                  <c:v>5</c:v>
                </c:pt>
                <c:pt idx="861">
                  <c:v>5</c:v>
                </c:pt>
                <c:pt idx="862">
                  <c:v>6</c:v>
                </c:pt>
                <c:pt idx="863">
                  <c:v>3</c:v>
                </c:pt>
                <c:pt idx="864">
                  <c:v>5</c:v>
                </c:pt>
                <c:pt idx="865">
                  <c:v>6</c:v>
                </c:pt>
                <c:pt idx="866">
                  <c:v>3</c:v>
                </c:pt>
                <c:pt idx="867">
                  <c:v>5</c:v>
                </c:pt>
                <c:pt idx="868">
                  <c:v>3</c:v>
                </c:pt>
                <c:pt idx="869">
                  <c:v>3</c:v>
                </c:pt>
                <c:pt idx="870">
                  <c:v>3</c:v>
                </c:pt>
                <c:pt idx="871">
                  <c:v>6</c:v>
                </c:pt>
                <c:pt idx="872">
                  <c:v>5</c:v>
                </c:pt>
                <c:pt idx="873">
                  <c:v>5</c:v>
                </c:pt>
                <c:pt idx="874">
                  <c:v>4</c:v>
                </c:pt>
                <c:pt idx="875">
                  <c:v>5</c:v>
                </c:pt>
                <c:pt idx="876">
                  <c:v>6</c:v>
                </c:pt>
                <c:pt idx="877">
                  <c:v>2</c:v>
                </c:pt>
                <c:pt idx="878">
                  <c:v>2</c:v>
                </c:pt>
                <c:pt idx="879">
                  <c:v>2</c:v>
                </c:pt>
                <c:pt idx="880">
                  <c:v>2</c:v>
                </c:pt>
                <c:pt idx="881">
                  <c:v>2</c:v>
                </c:pt>
                <c:pt idx="882">
                  <c:v>2</c:v>
                </c:pt>
                <c:pt idx="883">
                  <c:v>3</c:v>
                </c:pt>
                <c:pt idx="884">
                  <c:v>6</c:v>
                </c:pt>
                <c:pt idx="885">
                  <c:v>6</c:v>
                </c:pt>
                <c:pt idx="886">
                  <c:v>4</c:v>
                </c:pt>
                <c:pt idx="887">
                  <c:v>4</c:v>
                </c:pt>
                <c:pt idx="888">
                  <c:v>6</c:v>
                </c:pt>
                <c:pt idx="889">
                  <c:v>5</c:v>
                </c:pt>
                <c:pt idx="890">
                  <c:v>3</c:v>
                </c:pt>
                <c:pt idx="891">
                  <c:v>3</c:v>
                </c:pt>
                <c:pt idx="892">
                  <c:v>5</c:v>
                </c:pt>
                <c:pt idx="893">
                  <c:v>2</c:v>
                </c:pt>
                <c:pt idx="894">
                  <c:v>5</c:v>
                </c:pt>
                <c:pt idx="895">
                  <c:v>4</c:v>
                </c:pt>
                <c:pt idx="896">
                  <c:v>6</c:v>
                </c:pt>
                <c:pt idx="897">
                  <c:v>6</c:v>
                </c:pt>
                <c:pt idx="898">
                  <c:v>6</c:v>
                </c:pt>
                <c:pt idx="899">
                  <c:v>3</c:v>
                </c:pt>
                <c:pt idx="900">
                  <c:v>4</c:v>
                </c:pt>
                <c:pt idx="901">
                  <c:v>6</c:v>
                </c:pt>
                <c:pt idx="902">
                  <c:v>6</c:v>
                </c:pt>
                <c:pt idx="903">
                  <c:v>4</c:v>
                </c:pt>
                <c:pt idx="904">
                  <c:v>4</c:v>
                </c:pt>
                <c:pt idx="905">
                  <c:v>5</c:v>
                </c:pt>
                <c:pt idx="906">
                  <c:v>3</c:v>
                </c:pt>
                <c:pt idx="907">
                  <c:v>4</c:v>
                </c:pt>
                <c:pt idx="908">
                  <c:v>3</c:v>
                </c:pt>
                <c:pt idx="909">
                  <c:v>4</c:v>
                </c:pt>
                <c:pt idx="910">
                  <c:v>5</c:v>
                </c:pt>
                <c:pt idx="911">
                  <c:v>2</c:v>
                </c:pt>
                <c:pt idx="912">
                  <c:v>5</c:v>
                </c:pt>
                <c:pt idx="913">
                  <c:v>4</c:v>
                </c:pt>
                <c:pt idx="914">
                  <c:v>4</c:v>
                </c:pt>
                <c:pt idx="915">
                  <c:v>6</c:v>
                </c:pt>
                <c:pt idx="916">
                  <c:v>2</c:v>
                </c:pt>
                <c:pt idx="917">
                  <c:v>2</c:v>
                </c:pt>
                <c:pt idx="918">
                  <c:v>4</c:v>
                </c:pt>
                <c:pt idx="919">
                  <c:v>3</c:v>
                </c:pt>
                <c:pt idx="920">
                  <c:v>5</c:v>
                </c:pt>
                <c:pt idx="921">
                  <c:v>3</c:v>
                </c:pt>
                <c:pt idx="922">
                  <c:v>3</c:v>
                </c:pt>
                <c:pt idx="923">
                  <c:v>6</c:v>
                </c:pt>
                <c:pt idx="924">
                  <c:v>5</c:v>
                </c:pt>
                <c:pt idx="925">
                  <c:v>6</c:v>
                </c:pt>
                <c:pt idx="926">
                  <c:v>3</c:v>
                </c:pt>
                <c:pt idx="927">
                  <c:v>5</c:v>
                </c:pt>
                <c:pt idx="928">
                  <c:v>4</c:v>
                </c:pt>
                <c:pt idx="929">
                  <c:v>3</c:v>
                </c:pt>
                <c:pt idx="930">
                  <c:v>5</c:v>
                </c:pt>
                <c:pt idx="931">
                  <c:v>2</c:v>
                </c:pt>
                <c:pt idx="932">
                  <c:v>2</c:v>
                </c:pt>
                <c:pt idx="933">
                  <c:v>6</c:v>
                </c:pt>
                <c:pt idx="934">
                  <c:v>6</c:v>
                </c:pt>
                <c:pt idx="935">
                  <c:v>3</c:v>
                </c:pt>
                <c:pt idx="936">
                  <c:v>4</c:v>
                </c:pt>
                <c:pt idx="937">
                  <c:v>3</c:v>
                </c:pt>
                <c:pt idx="938">
                  <c:v>4</c:v>
                </c:pt>
                <c:pt idx="939">
                  <c:v>6</c:v>
                </c:pt>
                <c:pt idx="940">
                  <c:v>2</c:v>
                </c:pt>
                <c:pt idx="941">
                  <c:v>4</c:v>
                </c:pt>
                <c:pt idx="942">
                  <c:v>2</c:v>
                </c:pt>
                <c:pt idx="943">
                  <c:v>3</c:v>
                </c:pt>
                <c:pt idx="944">
                  <c:v>5</c:v>
                </c:pt>
                <c:pt idx="945">
                  <c:v>6</c:v>
                </c:pt>
                <c:pt idx="946">
                  <c:v>2</c:v>
                </c:pt>
                <c:pt idx="947">
                  <c:v>3</c:v>
                </c:pt>
                <c:pt idx="948">
                  <c:v>5</c:v>
                </c:pt>
                <c:pt idx="949">
                  <c:v>4</c:v>
                </c:pt>
                <c:pt idx="950">
                  <c:v>5</c:v>
                </c:pt>
                <c:pt idx="951">
                  <c:v>3</c:v>
                </c:pt>
                <c:pt idx="952">
                  <c:v>3</c:v>
                </c:pt>
                <c:pt idx="953">
                  <c:v>2</c:v>
                </c:pt>
                <c:pt idx="954">
                  <c:v>6</c:v>
                </c:pt>
                <c:pt idx="955">
                  <c:v>2</c:v>
                </c:pt>
                <c:pt idx="956">
                  <c:v>5</c:v>
                </c:pt>
                <c:pt idx="957">
                  <c:v>4</c:v>
                </c:pt>
                <c:pt idx="958">
                  <c:v>5</c:v>
                </c:pt>
                <c:pt idx="959">
                  <c:v>2</c:v>
                </c:pt>
                <c:pt idx="960">
                  <c:v>6</c:v>
                </c:pt>
                <c:pt idx="961">
                  <c:v>4</c:v>
                </c:pt>
                <c:pt idx="962">
                  <c:v>4</c:v>
                </c:pt>
                <c:pt idx="963">
                  <c:v>6</c:v>
                </c:pt>
                <c:pt idx="964">
                  <c:v>5</c:v>
                </c:pt>
                <c:pt idx="965">
                  <c:v>2</c:v>
                </c:pt>
                <c:pt idx="966">
                  <c:v>2</c:v>
                </c:pt>
                <c:pt idx="967">
                  <c:v>5</c:v>
                </c:pt>
                <c:pt idx="968">
                  <c:v>3</c:v>
                </c:pt>
                <c:pt idx="969">
                  <c:v>6</c:v>
                </c:pt>
                <c:pt idx="970">
                  <c:v>2</c:v>
                </c:pt>
                <c:pt idx="971">
                  <c:v>5</c:v>
                </c:pt>
                <c:pt idx="972">
                  <c:v>4</c:v>
                </c:pt>
                <c:pt idx="973">
                  <c:v>2</c:v>
                </c:pt>
                <c:pt idx="974">
                  <c:v>6</c:v>
                </c:pt>
                <c:pt idx="975">
                  <c:v>4</c:v>
                </c:pt>
                <c:pt idx="976">
                  <c:v>6</c:v>
                </c:pt>
                <c:pt idx="977">
                  <c:v>6</c:v>
                </c:pt>
                <c:pt idx="978">
                  <c:v>2</c:v>
                </c:pt>
                <c:pt idx="979">
                  <c:v>6</c:v>
                </c:pt>
                <c:pt idx="980">
                  <c:v>4</c:v>
                </c:pt>
                <c:pt idx="981">
                  <c:v>6</c:v>
                </c:pt>
                <c:pt idx="982">
                  <c:v>3</c:v>
                </c:pt>
                <c:pt idx="983">
                  <c:v>5</c:v>
                </c:pt>
                <c:pt idx="984">
                  <c:v>4</c:v>
                </c:pt>
                <c:pt idx="985">
                  <c:v>5</c:v>
                </c:pt>
                <c:pt idx="986">
                  <c:v>5</c:v>
                </c:pt>
                <c:pt idx="987">
                  <c:v>2</c:v>
                </c:pt>
                <c:pt idx="988">
                  <c:v>4</c:v>
                </c:pt>
                <c:pt idx="989">
                  <c:v>4</c:v>
                </c:pt>
                <c:pt idx="990">
                  <c:v>6</c:v>
                </c:pt>
                <c:pt idx="991">
                  <c:v>3</c:v>
                </c:pt>
                <c:pt idx="992">
                  <c:v>5</c:v>
                </c:pt>
                <c:pt idx="993">
                  <c:v>6</c:v>
                </c:pt>
                <c:pt idx="994">
                  <c:v>4</c:v>
                </c:pt>
                <c:pt idx="995">
                  <c:v>5</c:v>
                </c:pt>
                <c:pt idx="996">
                  <c:v>3</c:v>
                </c:pt>
                <c:pt idx="997">
                  <c:v>6</c:v>
                </c:pt>
                <c:pt idx="998">
                  <c:v>2</c:v>
                </c:pt>
                <c:pt idx="999">
                  <c:v>6</c:v>
                </c:pt>
              </c:numCache>
            </c:numRef>
          </c:xVal>
          <c:yVal>
            <c:numRef>
              <c:f>Raw_Data!$R$2:$R$1001</c:f>
              <c:numCache>
                <c:formatCode>General</c:formatCode>
                <c:ptCount val="1000"/>
                <c:pt idx="0">
                  <c:v>428</c:v>
                </c:pt>
                <c:pt idx="1">
                  <c:v>589</c:v>
                </c:pt>
                <c:pt idx="2">
                  <c:v>408</c:v>
                </c:pt>
                <c:pt idx="3">
                  <c:v>449</c:v>
                </c:pt>
                <c:pt idx="4">
                  <c:v>745</c:v>
                </c:pt>
                <c:pt idx="5">
                  <c:v>428</c:v>
                </c:pt>
                <c:pt idx="6">
                  <c:v>603</c:v>
                </c:pt>
                <c:pt idx="7">
                  <c:v>604</c:v>
                </c:pt>
                <c:pt idx="8">
                  <c:v>267</c:v>
                </c:pt>
                <c:pt idx="9">
                  <c:v>557</c:v>
                </c:pt>
                <c:pt idx="10">
                  <c:v>539</c:v>
                </c:pt>
                <c:pt idx="11">
                  <c:v>466</c:v>
                </c:pt>
                <c:pt idx="12">
                  <c:v>368</c:v>
                </c:pt>
                <c:pt idx="13">
                  <c:v>567</c:v>
                </c:pt>
                <c:pt idx="14">
                  <c:v>644</c:v>
                </c:pt>
                <c:pt idx="15">
                  <c:v>470</c:v>
                </c:pt>
                <c:pt idx="16">
                  <c:v>257</c:v>
                </c:pt>
                <c:pt idx="17">
                  <c:v>539</c:v>
                </c:pt>
                <c:pt idx="18">
                  <c:v>489</c:v>
                </c:pt>
                <c:pt idx="19">
                  <c:v>439</c:v>
                </c:pt>
                <c:pt idx="20">
                  <c:v>764</c:v>
                </c:pt>
                <c:pt idx="21">
                  <c:v>415</c:v>
                </c:pt>
                <c:pt idx="22">
                  <c:v>789</c:v>
                </c:pt>
                <c:pt idx="23">
                  <c:v>639</c:v>
                </c:pt>
                <c:pt idx="24">
                  <c:v>789</c:v>
                </c:pt>
                <c:pt idx="25">
                  <c:v>289</c:v>
                </c:pt>
                <c:pt idx="26">
                  <c:v>289</c:v>
                </c:pt>
                <c:pt idx="27">
                  <c:v>487</c:v>
                </c:pt>
                <c:pt idx="28">
                  <c:v>427</c:v>
                </c:pt>
                <c:pt idx="29">
                  <c:v>560</c:v>
                </c:pt>
                <c:pt idx="30">
                  <c:v>663</c:v>
                </c:pt>
                <c:pt idx="31">
                  <c:v>749</c:v>
                </c:pt>
                <c:pt idx="32">
                  <c:v>493</c:v>
                </c:pt>
                <c:pt idx="33">
                  <c:v>338</c:v>
                </c:pt>
                <c:pt idx="34">
                  <c:v>440</c:v>
                </c:pt>
                <c:pt idx="35">
                  <c:v>824</c:v>
                </c:pt>
                <c:pt idx="36">
                  <c:v>468</c:v>
                </c:pt>
                <c:pt idx="37">
                  <c:v>352</c:v>
                </c:pt>
                <c:pt idx="38">
                  <c:v>561</c:v>
                </c:pt>
                <c:pt idx="39">
                  <c:v>466</c:v>
                </c:pt>
                <c:pt idx="40">
                  <c:v>323</c:v>
                </c:pt>
                <c:pt idx="41">
                  <c:v>822</c:v>
                </c:pt>
                <c:pt idx="42">
                  <c:v>451</c:v>
                </c:pt>
                <c:pt idx="43">
                  <c:v>382</c:v>
                </c:pt>
                <c:pt idx="44">
                  <c:v>282</c:v>
                </c:pt>
                <c:pt idx="45">
                  <c:v>629</c:v>
                </c:pt>
                <c:pt idx="46">
                  <c:v>454</c:v>
                </c:pt>
                <c:pt idx="47">
                  <c:v>389</c:v>
                </c:pt>
                <c:pt idx="48">
                  <c:v>539</c:v>
                </c:pt>
                <c:pt idx="49">
                  <c:v>433</c:v>
                </c:pt>
                <c:pt idx="50">
                  <c:v>447</c:v>
                </c:pt>
                <c:pt idx="51">
                  <c:v>433</c:v>
                </c:pt>
                <c:pt idx="52">
                  <c:v>252</c:v>
                </c:pt>
                <c:pt idx="53">
                  <c:v>576</c:v>
                </c:pt>
                <c:pt idx="54">
                  <c:v>521</c:v>
                </c:pt>
                <c:pt idx="55">
                  <c:v>492</c:v>
                </c:pt>
                <c:pt idx="56">
                  <c:v>750</c:v>
                </c:pt>
                <c:pt idx="57">
                  <c:v>289</c:v>
                </c:pt>
                <c:pt idx="58">
                  <c:v>389</c:v>
                </c:pt>
                <c:pt idx="59">
                  <c:v>497</c:v>
                </c:pt>
                <c:pt idx="60">
                  <c:v>529</c:v>
                </c:pt>
                <c:pt idx="61">
                  <c:v>909</c:v>
                </c:pt>
                <c:pt idx="62">
                  <c:v>462</c:v>
                </c:pt>
                <c:pt idx="63">
                  <c:v>305</c:v>
                </c:pt>
                <c:pt idx="64">
                  <c:v>575</c:v>
                </c:pt>
                <c:pt idx="65">
                  <c:v>262</c:v>
                </c:pt>
                <c:pt idx="66">
                  <c:v>431</c:v>
                </c:pt>
                <c:pt idx="67">
                  <c:v>560</c:v>
                </c:pt>
                <c:pt idx="68">
                  <c:v>620</c:v>
                </c:pt>
                <c:pt idx="69">
                  <c:v>533</c:v>
                </c:pt>
                <c:pt idx="70">
                  <c:v>547</c:v>
                </c:pt>
                <c:pt idx="71">
                  <c:v>476</c:v>
                </c:pt>
                <c:pt idx="72">
                  <c:v>640</c:v>
                </c:pt>
                <c:pt idx="73">
                  <c:v>559</c:v>
                </c:pt>
                <c:pt idx="74">
                  <c:v>591</c:v>
                </c:pt>
                <c:pt idx="75">
                  <c:v>452</c:v>
                </c:pt>
                <c:pt idx="76">
                  <c:v>336</c:v>
                </c:pt>
                <c:pt idx="77">
                  <c:v>490</c:v>
                </c:pt>
                <c:pt idx="78">
                  <c:v>377</c:v>
                </c:pt>
                <c:pt idx="79">
                  <c:v>885</c:v>
                </c:pt>
                <c:pt idx="80">
                  <c:v>425</c:v>
                </c:pt>
                <c:pt idx="81">
                  <c:v>789</c:v>
                </c:pt>
                <c:pt idx="82">
                  <c:v>457</c:v>
                </c:pt>
                <c:pt idx="83">
                  <c:v>513</c:v>
                </c:pt>
                <c:pt idx="84">
                  <c:v>427</c:v>
                </c:pt>
                <c:pt idx="85">
                  <c:v>495</c:v>
                </c:pt>
                <c:pt idx="86">
                  <c:v>724</c:v>
                </c:pt>
                <c:pt idx="87">
                  <c:v>451</c:v>
                </c:pt>
                <c:pt idx="88">
                  <c:v>439</c:v>
                </c:pt>
                <c:pt idx="89">
                  <c:v>316</c:v>
                </c:pt>
                <c:pt idx="90">
                  <c:v>467</c:v>
                </c:pt>
                <c:pt idx="91">
                  <c:v>582</c:v>
                </c:pt>
                <c:pt idx="92">
                  <c:v>272</c:v>
                </c:pt>
                <c:pt idx="93">
                  <c:v>513</c:v>
                </c:pt>
                <c:pt idx="94">
                  <c:v>488</c:v>
                </c:pt>
                <c:pt idx="95">
                  <c:v>689</c:v>
                </c:pt>
                <c:pt idx="96">
                  <c:v>371</c:v>
                </c:pt>
                <c:pt idx="97">
                  <c:v>366</c:v>
                </c:pt>
                <c:pt idx="98">
                  <c:v>448</c:v>
                </c:pt>
                <c:pt idx="99">
                  <c:v>451</c:v>
                </c:pt>
                <c:pt idx="100">
                  <c:v>449</c:v>
                </c:pt>
                <c:pt idx="101">
                  <c:v>589</c:v>
                </c:pt>
                <c:pt idx="102">
                  <c:v>689</c:v>
                </c:pt>
                <c:pt idx="103">
                  <c:v>485</c:v>
                </c:pt>
                <c:pt idx="104">
                  <c:v>339</c:v>
                </c:pt>
                <c:pt idx="105">
                  <c:v>457</c:v>
                </c:pt>
                <c:pt idx="106">
                  <c:v>430</c:v>
                </c:pt>
                <c:pt idx="107">
                  <c:v>490</c:v>
                </c:pt>
                <c:pt idx="108">
                  <c:v>660</c:v>
                </c:pt>
                <c:pt idx="109">
                  <c:v>388</c:v>
                </c:pt>
                <c:pt idx="110">
                  <c:v>577</c:v>
                </c:pt>
                <c:pt idx="111">
                  <c:v>345</c:v>
                </c:pt>
                <c:pt idx="112">
                  <c:v>289</c:v>
                </c:pt>
                <c:pt idx="113">
                  <c:v>557</c:v>
                </c:pt>
                <c:pt idx="114">
                  <c:v>500</c:v>
                </c:pt>
                <c:pt idx="115">
                  <c:v>437</c:v>
                </c:pt>
                <c:pt idx="116">
                  <c:v>395</c:v>
                </c:pt>
                <c:pt idx="117">
                  <c:v>484</c:v>
                </c:pt>
                <c:pt idx="118">
                  <c:v>443</c:v>
                </c:pt>
                <c:pt idx="119">
                  <c:v>732</c:v>
                </c:pt>
                <c:pt idx="120">
                  <c:v>443</c:v>
                </c:pt>
                <c:pt idx="121">
                  <c:v>460</c:v>
                </c:pt>
                <c:pt idx="122">
                  <c:v>456</c:v>
                </c:pt>
                <c:pt idx="123">
                  <c:v>689</c:v>
                </c:pt>
                <c:pt idx="124">
                  <c:v>337</c:v>
                </c:pt>
                <c:pt idx="125">
                  <c:v>371</c:v>
                </c:pt>
                <c:pt idx="126">
                  <c:v>312</c:v>
                </c:pt>
                <c:pt idx="127">
                  <c:v>424</c:v>
                </c:pt>
                <c:pt idx="128">
                  <c:v>757</c:v>
                </c:pt>
                <c:pt idx="129">
                  <c:v>463</c:v>
                </c:pt>
                <c:pt idx="130">
                  <c:v>412</c:v>
                </c:pt>
                <c:pt idx="131">
                  <c:v>486</c:v>
                </c:pt>
                <c:pt idx="132">
                  <c:v>568</c:v>
                </c:pt>
                <c:pt idx="133">
                  <c:v>338</c:v>
                </c:pt>
                <c:pt idx="134">
                  <c:v>296</c:v>
                </c:pt>
                <c:pt idx="135">
                  <c:v>568</c:v>
                </c:pt>
                <c:pt idx="136">
                  <c:v>379</c:v>
                </c:pt>
                <c:pt idx="137">
                  <c:v>464</c:v>
                </c:pt>
                <c:pt idx="138">
                  <c:v>389</c:v>
                </c:pt>
                <c:pt idx="139">
                  <c:v>606</c:v>
                </c:pt>
                <c:pt idx="140">
                  <c:v>538</c:v>
                </c:pt>
                <c:pt idx="141">
                  <c:v>408</c:v>
                </c:pt>
                <c:pt idx="142">
                  <c:v>589</c:v>
                </c:pt>
                <c:pt idx="143">
                  <c:v>489</c:v>
                </c:pt>
                <c:pt idx="144">
                  <c:v>656</c:v>
                </c:pt>
                <c:pt idx="145">
                  <c:v>362</c:v>
                </c:pt>
                <c:pt idx="146">
                  <c:v>313</c:v>
                </c:pt>
                <c:pt idx="147">
                  <c:v>352</c:v>
                </c:pt>
                <c:pt idx="148">
                  <c:v>664</c:v>
                </c:pt>
                <c:pt idx="149">
                  <c:v>515</c:v>
                </c:pt>
                <c:pt idx="150">
                  <c:v>730</c:v>
                </c:pt>
                <c:pt idx="151">
                  <c:v>389</c:v>
                </c:pt>
                <c:pt idx="152">
                  <c:v>446</c:v>
                </c:pt>
                <c:pt idx="153">
                  <c:v>310</c:v>
                </c:pt>
                <c:pt idx="154">
                  <c:v>655</c:v>
                </c:pt>
                <c:pt idx="155">
                  <c:v>693</c:v>
                </c:pt>
                <c:pt idx="156">
                  <c:v>336</c:v>
                </c:pt>
                <c:pt idx="157">
                  <c:v>389</c:v>
                </c:pt>
                <c:pt idx="158">
                  <c:v>617</c:v>
                </c:pt>
                <c:pt idx="159">
                  <c:v>492</c:v>
                </c:pt>
                <c:pt idx="160">
                  <c:v>457</c:v>
                </c:pt>
                <c:pt idx="161">
                  <c:v>506</c:v>
                </c:pt>
                <c:pt idx="162">
                  <c:v>549</c:v>
                </c:pt>
                <c:pt idx="163">
                  <c:v>759</c:v>
                </c:pt>
                <c:pt idx="164">
                  <c:v>530</c:v>
                </c:pt>
                <c:pt idx="165">
                  <c:v>342</c:v>
                </c:pt>
                <c:pt idx="166">
                  <c:v>400</c:v>
                </c:pt>
                <c:pt idx="167">
                  <c:v>251</c:v>
                </c:pt>
                <c:pt idx="168">
                  <c:v>513</c:v>
                </c:pt>
                <c:pt idx="169">
                  <c:v>330</c:v>
                </c:pt>
                <c:pt idx="170">
                  <c:v>951</c:v>
                </c:pt>
                <c:pt idx="171">
                  <c:v>506</c:v>
                </c:pt>
                <c:pt idx="172">
                  <c:v>507</c:v>
                </c:pt>
                <c:pt idx="173">
                  <c:v>728</c:v>
                </c:pt>
                <c:pt idx="174">
                  <c:v>450</c:v>
                </c:pt>
                <c:pt idx="175">
                  <c:v>542</c:v>
                </c:pt>
                <c:pt idx="176">
                  <c:v>483</c:v>
                </c:pt>
                <c:pt idx="177">
                  <c:v>561</c:v>
                </c:pt>
                <c:pt idx="178">
                  <c:v>388</c:v>
                </c:pt>
                <c:pt idx="179">
                  <c:v>453</c:v>
                </c:pt>
                <c:pt idx="180">
                  <c:v>525</c:v>
                </c:pt>
                <c:pt idx="181">
                  <c:v>903</c:v>
                </c:pt>
                <c:pt idx="182">
                  <c:v>589</c:v>
                </c:pt>
                <c:pt idx="183">
                  <c:v>567</c:v>
                </c:pt>
                <c:pt idx="184">
                  <c:v>830</c:v>
                </c:pt>
                <c:pt idx="185">
                  <c:v>364</c:v>
                </c:pt>
                <c:pt idx="186">
                  <c:v>481</c:v>
                </c:pt>
                <c:pt idx="187">
                  <c:v>475</c:v>
                </c:pt>
                <c:pt idx="188">
                  <c:v>448</c:v>
                </c:pt>
                <c:pt idx="189">
                  <c:v>565</c:v>
                </c:pt>
                <c:pt idx="190">
                  <c:v>889</c:v>
                </c:pt>
                <c:pt idx="191">
                  <c:v>260</c:v>
                </c:pt>
                <c:pt idx="192">
                  <c:v>543</c:v>
                </c:pt>
                <c:pt idx="193">
                  <c:v>635</c:v>
                </c:pt>
                <c:pt idx="194">
                  <c:v>398</c:v>
                </c:pt>
                <c:pt idx="195">
                  <c:v>589</c:v>
                </c:pt>
                <c:pt idx="196">
                  <c:v>474</c:v>
                </c:pt>
                <c:pt idx="197">
                  <c:v>589</c:v>
                </c:pt>
                <c:pt idx="198">
                  <c:v>502</c:v>
                </c:pt>
                <c:pt idx="199">
                  <c:v>346</c:v>
                </c:pt>
                <c:pt idx="200">
                  <c:v>752</c:v>
                </c:pt>
                <c:pt idx="201">
                  <c:v>349</c:v>
                </c:pt>
                <c:pt idx="202">
                  <c:v>401</c:v>
                </c:pt>
                <c:pt idx="203">
                  <c:v>628</c:v>
                </c:pt>
                <c:pt idx="204">
                  <c:v>379</c:v>
                </c:pt>
                <c:pt idx="205">
                  <c:v>346</c:v>
                </c:pt>
                <c:pt idx="206">
                  <c:v>437</c:v>
                </c:pt>
                <c:pt idx="207">
                  <c:v>323</c:v>
                </c:pt>
                <c:pt idx="208">
                  <c:v>539</c:v>
                </c:pt>
                <c:pt idx="209">
                  <c:v>489</c:v>
                </c:pt>
                <c:pt idx="210">
                  <c:v>416</c:v>
                </c:pt>
                <c:pt idx="211">
                  <c:v>482</c:v>
                </c:pt>
                <c:pt idx="212">
                  <c:v>447</c:v>
                </c:pt>
                <c:pt idx="213">
                  <c:v>522</c:v>
                </c:pt>
                <c:pt idx="214">
                  <c:v>304</c:v>
                </c:pt>
                <c:pt idx="215">
                  <c:v>539</c:v>
                </c:pt>
                <c:pt idx="216">
                  <c:v>430</c:v>
                </c:pt>
                <c:pt idx="217">
                  <c:v>573</c:v>
                </c:pt>
                <c:pt idx="218">
                  <c:v>565</c:v>
                </c:pt>
                <c:pt idx="219">
                  <c:v>475</c:v>
                </c:pt>
                <c:pt idx="220">
                  <c:v>670</c:v>
                </c:pt>
                <c:pt idx="221">
                  <c:v>289</c:v>
                </c:pt>
                <c:pt idx="222">
                  <c:v>477</c:v>
                </c:pt>
                <c:pt idx="223">
                  <c:v>775</c:v>
                </c:pt>
                <c:pt idx="224">
                  <c:v>290</c:v>
                </c:pt>
                <c:pt idx="225">
                  <c:v>304</c:v>
                </c:pt>
                <c:pt idx="226">
                  <c:v>461</c:v>
                </c:pt>
                <c:pt idx="227">
                  <c:v>589</c:v>
                </c:pt>
                <c:pt idx="228">
                  <c:v>465</c:v>
                </c:pt>
                <c:pt idx="229">
                  <c:v>727</c:v>
                </c:pt>
                <c:pt idx="230">
                  <c:v>540</c:v>
                </c:pt>
                <c:pt idx="231">
                  <c:v>413</c:v>
                </c:pt>
                <c:pt idx="232">
                  <c:v>383</c:v>
                </c:pt>
                <c:pt idx="233">
                  <c:v>289</c:v>
                </c:pt>
                <c:pt idx="234">
                  <c:v>654</c:v>
                </c:pt>
                <c:pt idx="235">
                  <c:v>583</c:v>
                </c:pt>
                <c:pt idx="236">
                  <c:v>485</c:v>
                </c:pt>
                <c:pt idx="237">
                  <c:v>429</c:v>
                </c:pt>
                <c:pt idx="238">
                  <c:v>698</c:v>
                </c:pt>
                <c:pt idx="239">
                  <c:v>401</c:v>
                </c:pt>
                <c:pt idx="240">
                  <c:v>448</c:v>
                </c:pt>
                <c:pt idx="241">
                  <c:v>489</c:v>
                </c:pt>
                <c:pt idx="242">
                  <c:v>440</c:v>
                </c:pt>
                <c:pt idx="243">
                  <c:v>504</c:v>
                </c:pt>
                <c:pt idx="244">
                  <c:v>539</c:v>
                </c:pt>
                <c:pt idx="245">
                  <c:v>589</c:v>
                </c:pt>
                <c:pt idx="246">
                  <c:v>586</c:v>
                </c:pt>
                <c:pt idx="247">
                  <c:v>489</c:v>
                </c:pt>
                <c:pt idx="248">
                  <c:v>559</c:v>
                </c:pt>
                <c:pt idx="249">
                  <c:v>526</c:v>
                </c:pt>
                <c:pt idx="250">
                  <c:v>438</c:v>
                </c:pt>
                <c:pt idx="251">
                  <c:v>486</c:v>
                </c:pt>
                <c:pt idx="252">
                  <c:v>657</c:v>
                </c:pt>
                <c:pt idx="253">
                  <c:v>589</c:v>
                </c:pt>
                <c:pt idx="254">
                  <c:v>568</c:v>
                </c:pt>
                <c:pt idx="255">
                  <c:v>520</c:v>
                </c:pt>
                <c:pt idx="256">
                  <c:v>309</c:v>
                </c:pt>
                <c:pt idx="257">
                  <c:v>439</c:v>
                </c:pt>
                <c:pt idx="258">
                  <c:v>490</c:v>
                </c:pt>
                <c:pt idx="259">
                  <c:v>536</c:v>
                </c:pt>
                <c:pt idx="260">
                  <c:v>388</c:v>
                </c:pt>
                <c:pt idx="261">
                  <c:v>512</c:v>
                </c:pt>
                <c:pt idx="262">
                  <c:v>417</c:v>
                </c:pt>
                <c:pt idx="263">
                  <c:v>581</c:v>
                </c:pt>
                <c:pt idx="264">
                  <c:v>457</c:v>
                </c:pt>
                <c:pt idx="265">
                  <c:v>589</c:v>
                </c:pt>
                <c:pt idx="266">
                  <c:v>414</c:v>
                </c:pt>
                <c:pt idx="267">
                  <c:v>497</c:v>
                </c:pt>
                <c:pt idx="268">
                  <c:v>394</c:v>
                </c:pt>
                <c:pt idx="269">
                  <c:v>654</c:v>
                </c:pt>
                <c:pt idx="270">
                  <c:v>726</c:v>
                </c:pt>
                <c:pt idx="271">
                  <c:v>316</c:v>
                </c:pt>
                <c:pt idx="272">
                  <c:v>649</c:v>
                </c:pt>
                <c:pt idx="273">
                  <c:v>397</c:v>
                </c:pt>
                <c:pt idx="274">
                  <c:v>255</c:v>
                </c:pt>
                <c:pt idx="275">
                  <c:v>696</c:v>
                </c:pt>
                <c:pt idx="276">
                  <c:v>512</c:v>
                </c:pt>
                <c:pt idx="277">
                  <c:v>238</c:v>
                </c:pt>
                <c:pt idx="278">
                  <c:v>430</c:v>
                </c:pt>
                <c:pt idx="279">
                  <c:v>361</c:v>
                </c:pt>
                <c:pt idx="280">
                  <c:v>527</c:v>
                </c:pt>
                <c:pt idx="281">
                  <c:v>302</c:v>
                </c:pt>
                <c:pt idx="282">
                  <c:v>697</c:v>
                </c:pt>
                <c:pt idx="283">
                  <c:v>443</c:v>
                </c:pt>
                <c:pt idx="284">
                  <c:v>513</c:v>
                </c:pt>
                <c:pt idx="285">
                  <c:v>687</c:v>
                </c:pt>
                <c:pt idx="286">
                  <c:v>829</c:v>
                </c:pt>
                <c:pt idx="287">
                  <c:v>547</c:v>
                </c:pt>
                <c:pt idx="288">
                  <c:v>457</c:v>
                </c:pt>
                <c:pt idx="289">
                  <c:v>467</c:v>
                </c:pt>
                <c:pt idx="290">
                  <c:v>433</c:v>
                </c:pt>
                <c:pt idx="291">
                  <c:v>589</c:v>
                </c:pt>
                <c:pt idx="292">
                  <c:v>552</c:v>
                </c:pt>
                <c:pt idx="293">
                  <c:v>514</c:v>
                </c:pt>
                <c:pt idx="294">
                  <c:v>586</c:v>
                </c:pt>
                <c:pt idx="295">
                  <c:v>405</c:v>
                </c:pt>
                <c:pt idx="296">
                  <c:v>361</c:v>
                </c:pt>
                <c:pt idx="297">
                  <c:v>485</c:v>
                </c:pt>
                <c:pt idx="298">
                  <c:v>576</c:v>
                </c:pt>
                <c:pt idx="299">
                  <c:v>257</c:v>
                </c:pt>
                <c:pt idx="300">
                  <c:v>524</c:v>
                </c:pt>
                <c:pt idx="301">
                  <c:v>589</c:v>
                </c:pt>
                <c:pt idx="302">
                  <c:v>590</c:v>
                </c:pt>
                <c:pt idx="303">
                  <c:v>453</c:v>
                </c:pt>
                <c:pt idx="304">
                  <c:v>545</c:v>
                </c:pt>
                <c:pt idx="305">
                  <c:v>398</c:v>
                </c:pt>
                <c:pt idx="306">
                  <c:v>617</c:v>
                </c:pt>
                <c:pt idx="307">
                  <c:v>663</c:v>
                </c:pt>
                <c:pt idx="308">
                  <c:v>348</c:v>
                </c:pt>
                <c:pt idx="309">
                  <c:v>297</c:v>
                </c:pt>
                <c:pt idx="310">
                  <c:v>404</c:v>
                </c:pt>
                <c:pt idx="311">
                  <c:v>409</c:v>
                </c:pt>
                <c:pt idx="312">
                  <c:v>720</c:v>
                </c:pt>
                <c:pt idx="313">
                  <c:v>868</c:v>
                </c:pt>
                <c:pt idx="314">
                  <c:v>357</c:v>
                </c:pt>
                <c:pt idx="315">
                  <c:v>460</c:v>
                </c:pt>
                <c:pt idx="316">
                  <c:v>916</c:v>
                </c:pt>
                <c:pt idx="317">
                  <c:v>665</c:v>
                </c:pt>
                <c:pt idx="318">
                  <c:v>476</c:v>
                </c:pt>
                <c:pt idx="319">
                  <c:v>439</c:v>
                </c:pt>
                <c:pt idx="320">
                  <c:v>531</c:v>
                </c:pt>
                <c:pt idx="321">
                  <c:v>267</c:v>
                </c:pt>
                <c:pt idx="322">
                  <c:v>412</c:v>
                </c:pt>
                <c:pt idx="323">
                  <c:v>263</c:v>
                </c:pt>
                <c:pt idx="324">
                  <c:v>788</c:v>
                </c:pt>
                <c:pt idx="325">
                  <c:v>568</c:v>
                </c:pt>
                <c:pt idx="326">
                  <c:v>589</c:v>
                </c:pt>
                <c:pt idx="327">
                  <c:v>389</c:v>
                </c:pt>
                <c:pt idx="328">
                  <c:v>362</c:v>
                </c:pt>
                <c:pt idx="329">
                  <c:v>327</c:v>
                </c:pt>
                <c:pt idx="330">
                  <c:v>514</c:v>
                </c:pt>
                <c:pt idx="331">
                  <c:v>455</c:v>
                </c:pt>
                <c:pt idx="332">
                  <c:v>391</c:v>
                </c:pt>
                <c:pt idx="333">
                  <c:v>292</c:v>
                </c:pt>
                <c:pt idx="334">
                  <c:v>701</c:v>
                </c:pt>
                <c:pt idx="335">
                  <c:v>751</c:v>
                </c:pt>
                <c:pt idx="336">
                  <c:v>479</c:v>
                </c:pt>
                <c:pt idx="337">
                  <c:v>537</c:v>
                </c:pt>
                <c:pt idx="338">
                  <c:v>558</c:v>
                </c:pt>
                <c:pt idx="339">
                  <c:v>385</c:v>
                </c:pt>
                <c:pt idx="340">
                  <c:v>518</c:v>
                </c:pt>
                <c:pt idx="341">
                  <c:v>412</c:v>
                </c:pt>
                <c:pt idx="342">
                  <c:v>624</c:v>
                </c:pt>
                <c:pt idx="343">
                  <c:v>789</c:v>
                </c:pt>
                <c:pt idx="344">
                  <c:v>477</c:v>
                </c:pt>
                <c:pt idx="345">
                  <c:v>789</c:v>
                </c:pt>
                <c:pt idx="346">
                  <c:v>513</c:v>
                </c:pt>
                <c:pt idx="347">
                  <c:v>348</c:v>
                </c:pt>
                <c:pt idx="348">
                  <c:v>563</c:v>
                </c:pt>
                <c:pt idx="349">
                  <c:v>501</c:v>
                </c:pt>
                <c:pt idx="350">
                  <c:v>689</c:v>
                </c:pt>
                <c:pt idx="351">
                  <c:v>589</c:v>
                </c:pt>
                <c:pt idx="352">
                  <c:v>642</c:v>
                </c:pt>
                <c:pt idx="353">
                  <c:v>456</c:v>
                </c:pt>
                <c:pt idx="354">
                  <c:v>527</c:v>
                </c:pt>
                <c:pt idx="355">
                  <c:v>660</c:v>
                </c:pt>
                <c:pt idx="356">
                  <c:v>574</c:v>
                </c:pt>
                <c:pt idx="357">
                  <c:v>546</c:v>
                </c:pt>
                <c:pt idx="358">
                  <c:v>747</c:v>
                </c:pt>
                <c:pt idx="359">
                  <c:v>449</c:v>
                </c:pt>
                <c:pt idx="360">
                  <c:v>525</c:v>
                </c:pt>
                <c:pt idx="361">
                  <c:v>565</c:v>
                </c:pt>
                <c:pt idx="362">
                  <c:v>410</c:v>
                </c:pt>
                <c:pt idx="363">
                  <c:v>491</c:v>
                </c:pt>
                <c:pt idx="364">
                  <c:v>403</c:v>
                </c:pt>
                <c:pt idx="365">
                  <c:v>645</c:v>
                </c:pt>
                <c:pt idx="366">
                  <c:v>549</c:v>
                </c:pt>
                <c:pt idx="367">
                  <c:v>262</c:v>
                </c:pt>
                <c:pt idx="368">
                  <c:v>448</c:v>
                </c:pt>
                <c:pt idx="369">
                  <c:v>383</c:v>
                </c:pt>
                <c:pt idx="370">
                  <c:v>689</c:v>
                </c:pt>
                <c:pt idx="371">
                  <c:v>619</c:v>
                </c:pt>
                <c:pt idx="372">
                  <c:v>640</c:v>
                </c:pt>
                <c:pt idx="373">
                  <c:v>481</c:v>
                </c:pt>
                <c:pt idx="374">
                  <c:v>641</c:v>
                </c:pt>
                <c:pt idx="375">
                  <c:v>589</c:v>
                </c:pt>
                <c:pt idx="376">
                  <c:v>789</c:v>
                </c:pt>
                <c:pt idx="377">
                  <c:v>550</c:v>
                </c:pt>
                <c:pt idx="378">
                  <c:v>794</c:v>
                </c:pt>
                <c:pt idx="379">
                  <c:v>589</c:v>
                </c:pt>
                <c:pt idx="380">
                  <c:v>589</c:v>
                </c:pt>
                <c:pt idx="381">
                  <c:v>483</c:v>
                </c:pt>
                <c:pt idx="382">
                  <c:v>264</c:v>
                </c:pt>
                <c:pt idx="383">
                  <c:v>469</c:v>
                </c:pt>
                <c:pt idx="384">
                  <c:v>289</c:v>
                </c:pt>
                <c:pt idx="385">
                  <c:v>491</c:v>
                </c:pt>
                <c:pt idx="386">
                  <c:v>786</c:v>
                </c:pt>
                <c:pt idx="387">
                  <c:v>274</c:v>
                </c:pt>
                <c:pt idx="388">
                  <c:v>489</c:v>
                </c:pt>
                <c:pt idx="389">
                  <c:v>489</c:v>
                </c:pt>
                <c:pt idx="390">
                  <c:v>855</c:v>
                </c:pt>
                <c:pt idx="391">
                  <c:v>449</c:v>
                </c:pt>
                <c:pt idx="392">
                  <c:v>552</c:v>
                </c:pt>
                <c:pt idx="393">
                  <c:v>452</c:v>
                </c:pt>
                <c:pt idx="394">
                  <c:v>285</c:v>
                </c:pt>
                <c:pt idx="395">
                  <c:v>536</c:v>
                </c:pt>
                <c:pt idx="396">
                  <c:v>573</c:v>
                </c:pt>
                <c:pt idx="397">
                  <c:v>829</c:v>
                </c:pt>
                <c:pt idx="398">
                  <c:v>536</c:v>
                </c:pt>
                <c:pt idx="399">
                  <c:v>637</c:v>
                </c:pt>
                <c:pt idx="400">
                  <c:v>363</c:v>
                </c:pt>
                <c:pt idx="401">
                  <c:v>623</c:v>
                </c:pt>
                <c:pt idx="402">
                  <c:v>460</c:v>
                </c:pt>
                <c:pt idx="403">
                  <c:v>677</c:v>
                </c:pt>
                <c:pt idx="404">
                  <c:v>648</c:v>
                </c:pt>
                <c:pt idx="405">
                  <c:v>547</c:v>
                </c:pt>
                <c:pt idx="406">
                  <c:v>565</c:v>
                </c:pt>
                <c:pt idx="407">
                  <c:v>480</c:v>
                </c:pt>
                <c:pt idx="408">
                  <c:v>545</c:v>
                </c:pt>
                <c:pt idx="409">
                  <c:v>494</c:v>
                </c:pt>
                <c:pt idx="410">
                  <c:v>589</c:v>
                </c:pt>
                <c:pt idx="411">
                  <c:v>637</c:v>
                </c:pt>
                <c:pt idx="412">
                  <c:v>300</c:v>
                </c:pt>
                <c:pt idx="413">
                  <c:v>441</c:v>
                </c:pt>
                <c:pt idx="414">
                  <c:v>589</c:v>
                </c:pt>
                <c:pt idx="415">
                  <c:v>489</c:v>
                </c:pt>
                <c:pt idx="416">
                  <c:v>483</c:v>
                </c:pt>
                <c:pt idx="417">
                  <c:v>489</c:v>
                </c:pt>
                <c:pt idx="418">
                  <c:v>689</c:v>
                </c:pt>
                <c:pt idx="419">
                  <c:v>386</c:v>
                </c:pt>
                <c:pt idx="420">
                  <c:v>389</c:v>
                </c:pt>
                <c:pt idx="421">
                  <c:v>497</c:v>
                </c:pt>
                <c:pt idx="422">
                  <c:v>372</c:v>
                </c:pt>
                <c:pt idx="423">
                  <c:v>329</c:v>
                </c:pt>
                <c:pt idx="424">
                  <c:v>431</c:v>
                </c:pt>
                <c:pt idx="425">
                  <c:v>589</c:v>
                </c:pt>
                <c:pt idx="426">
                  <c:v>577</c:v>
                </c:pt>
                <c:pt idx="427">
                  <c:v>597</c:v>
                </c:pt>
                <c:pt idx="428">
                  <c:v>684</c:v>
                </c:pt>
                <c:pt idx="429">
                  <c:v>589</c:v>
                </c:pt>
                <c:pt idx="430">
                  <c:v>889</c:v>
                </c:pt>
                <c:pt idx="431">
                  <c:v>529</c:v>
                </c:pt>
                <c:pt idx="432">
                  <c:v>434</c:v>
                </c:pt>
                <c:pt idx="433">
                  <c:v>640</c:v>
                </c:pt>
                <c:pt idx="434">
                  <c:v>519</c:v>
                </c:pt>
                <c:pt idx="435">
                  <c:v>537</c:v>
                </c:pt>
                <c:pt idx="436">
                  <c:v>511</c:v>
                </c:pt>
                <c:pt idx="437">
                  <c:v>668</c:v>
                </c:pt>
                <c:pt idx="438">
                  <c:v>432</c:v>
                </c:pt>
                <c:pt idx="439">
                  <c:v>429</c:v>
                </c:pt>
                <c:pt idx="440">
                  <c:v>289</c:v>
                </c:pt>
                <c:pt idx="441">
                  <c:v>489</c:v>
                </c:pt>
                <c:pt idx="442">
                  <c:v>562</c:v>
                </c:pt>
                <c:pt idx="443">
                  <c:v>309</c:v>
                </c:pt>
                <c:pt idx="444">
                  <c:v>439</c:v>
                </c:pt>
                <c:pt idx="445">
                  <c:v>426</c:v>
                </c:pt>
                <c:pt idx="446">
                  <c:v>522</c:v>
                </c:pt>
                <c:pt idx="447">
                  <c:v>576</c:v>
                </c:pt>
                <c:pt idx="448">
                  <c:v>434</c:v>
                </c:pt>
                <c:pt idx="449">
                  <c:v>536</c:v>
                </c:pt>
                <c:pt idx="450">
                  <c:v>474</c:v>
                </c:pt>
                <c:pt idx="451">
                  <c:v>401</c:v>
                </c:pt>
                <c:pt idx="452">
                  <c:v>473</c:v>
                </c:pt>
                <c:pt idx="453">
                  <c:v>561</c:v>
                </c:pt>
                <c:pt idx="454">
                  <c:v>439</c:v>
                </c:pt>
                <c:pt idx="455">
                  <c:v>600</c:v>
                </c:pt>
                <c:pt idx="456">
                  <c:v>568</c:v>
                </c:pt>
                <c:pt idx="457">
                  <c:v>669</c:v>
                </c:pt>
                <c:pt idx="458">
                  <c:v>589</c:v>
                </c:pt>
                <c:pt idx="459">
                  <c:v>569</c:v>
                </c:pt>
                <c:pt idx="460">
                  <c:v>603</c:v>
                </c:pt>
                <c:pt idx="461">
                  <c:v>618</c:v>
                </c:pt>
                <c:pt idx="462">
                  <c:v>433</c:v>
                </c:pt>
                <c:pt idx="463">
                  <c:v>311</c:v>
                </c:pt>
                <c:pt idx="464">
                  <c:v>289</c:v>
                </c:pt>
                <c:pt idx="465">
                  <c:v>950</c:v>
                </c:pt>
                <c:pt idx="466">
                  <c:v>468</c:v>
                </c:pt>
                <c:pt idx="467">
                  <c:v>668</c:v>
                </c:pt>
                <c:pt idx="468">
                  <c:v>447</c:v>
                </c:pt>
                <c:pt idx="469">
                  <c:v>823</c:v>
                </c:pt>
                <c:pt idx="470">
                  <c:v>477</c:v>
                </c:pt>
                <c:pt idx="471">
                  <c:v>494</c:v>
                </c:pt>
                <c:pt idx="472">
                  <c:v>522</c:v>
                </c:pt>
                <c:pt idx="473">
                  <c:v>438</c:v>
                </c:pt>
                <c:pt idx="474">
                  <c:v>717</c:v>
                </c:pt>
                <c:pt idx="475">
                  <c:v>291</c:v>
                </c:pt>
                <c:pt idx="476">
                  <c:v>320</c:v>
                </c:pt>
                <c:pt idx="477">
                  <c:v>561</c:v>
                </c:pt>
                <c:pt idx="478">
                  <c:v>632</c:v>
                </c:pt>
                <c:pt idx="479">
                  <c:v>521</c:v>
                </c:pt>
                <c:pt idx="480">
                  <c:v>493</c:v>
                </c:pt>
                <c:pt idx="481">
                  <c:v>380</c:v>
                </c:pt>
                <c:pt idx="482">
                  <c:v>407</c:v>
                </c:pt>
                <c:pt idx="483">
                  <c:v>495</c:v>
                </c:pt>
                <c:pt idx="484">
                  <c:v>518</c:v>
                </c:pt>
                <c:pt idx="485">
                  <c:v>589</c:v>
                </c:pt>
                <c:pt idx="486">
                  <c:v>554</c:v>
                </c:pt>
                <c:pt idx="487">
                  <c:v>517</c:v>
                </c:pt>
                <c:pt idx="488">
                  <c:v>675</c:v>
                </c:pt>
                <c:pt idx="489">
                  <c:v>474</c:v>
                </c:pt>
                <c:pt idx="490">
                  <c:v>539</c:v>
                </c:pt>
                <c:pt idx="491">
                  <c:v>661</c:v>
                </c:pt>
                <c:pt idx="492">
                  <c:v>311</c:v>
                </c:pt>
                <c:pt idx="493">
                  <c:v>289</c:v>
                </c:pt>
                <c:pt idx="494">
                  <c:v>535</c:v>
                </c:pt>
                <c:pt idx="495">
                  <c:v>581</c:v>
                </c:pt>
                <c:pt idx="496">
                  <c:v>571</c:v>
                </c:pt>
                <c:pt idx="497">
                  <c:v>489</c:v>
                </c:pt>
                <c:pt idx="498">
                  <c:v>500</c:v>
                </c:pt>
                <c:pt idx="499">
                  <c:v>397</c:v>
                </c:pt>
                <c:pt idx="500">
                  <c:v>329</c:v>
                </c:pt>
                <c:pt idx="501">
                  <c:v>468</c:v>
                </c:pt>
                <c:pt idx="502">
                  <c:v>835</c:v>
                </c:pt>
                <c:pt idx="503">
                  <c:v>289</c:v>
                </c:pt>
                <c:pt idx="504">
                  <c:v>539</c:v>
                </c:pt>
                <c:pt idx="505">
                  <c:v>389</c:v>
                </c:pt>
                <c:pt idx="506">
                  <c:v>289</c:v>
                </c:pt>
                <c:pt idx="507">
                  <c:v>589</c:v>
                </c:pt>
                <c:pt idx="508">
                  <c:v>614</c:v>
                </c:pt>
                <c:pt idx="509">
                  <c:v>590</c:v>
                </c:pt>
                <c:pt idx="510">
                  <c:v>692</c:v>
                </c:pt>
                <c:pt idx="511">
                  <c:v>349</c:v>
                </c:pt>
                <c:pt idx="512">
                  <c:v>511</c:v>
                </c:pt>
                <c:pt idx="513">
                  <c:v>579</c:v>
                </c:pt>
                <c:pt idx="514">
                  <c:v>531</c:v>
                </c:pt>
                <c:pt idx="515">
                  <c:v>482</c:v>
                </c:pt>
                <c:pt idx="516">
                  <c:v>530</c:v>
                </c:pt>
                <c:pt idx="517">
                  <c:v>487</c:v>
                </c:pt>
                <c:pt idx="518">
                  <c:v>306</c:v>
                </c:pt>
                <c:pt idx="519">
                  <c:v>493</c:v>
                </c:pt>
                <c:pt idx="520">
                  <c:v>558</c:v>
                </c:pt>
                <c:pt idx="521">
                  <c:v>394</c:v>
                </c:pt>
                <c:pt idx="522">
                  <c:v>407</c:v>
                </c:pt>
                <c:pt idx="523">
                  <c:v>425</c:v>
                </c:pt>
                <c:pt idx="524">
                  <c:v>440</c:v>
                </c:pt>
                <c:pt idx="525">
                  <c:v>889</c:v>
                </c:pt>
                <c:pt idx="526">
                  <c:v>459</c:v>
                </c:pt>
                <c:pt idx="527">
                  <c:v>509</c:v>
                </c:pt>
                <c:pt idx="528">
                  <c:v>325</c:v>
                </c:pt>
                <c:pt idx="529">
                  <c:v>708</c:v>
                </c:pt>
                <c:pt idx="530">
                  <c:v>389</c:v>
                </c:pt>
                <c:pt idx="531">
                  <c:v>310</c:v>
                </c:pt>
                <c:pt idx="532">
                  <c:v>396</c:v>
                </c:pt>
                <c:pt idx="533">
                  <c:v>406</c:v>
                </c:pt>
                <c:pt idx="534">
                  <c:v>629</c:v>
                </c:pt>
                <c:pt idx="535">
                  <c:v>312</c:v>
                </c:pt>
                <c:pt idx="536">
                  <c:v>831</c:v>
                </c:pt>
                <c:pt idx="537">
                  <c:v>376</c:v>
                </c:pt>
                <c:pt idx="538">
                  <c:v>489</c:v>
                </c:pt>
                <c:pt idx="539">
                  <c:v>590</c:v>
                </c:pt>
                <c:pt idx="540">
                  <c:v>325</c:v>
                </c:pt>
                <c:pt idx="541">
                  <c:v>773</c:v>
                </c:pt>
                <c:pt idx="542">
                  <c:v>383</c:v>
                </c:pt>
                <c:pt idx="543">
                  <c:v>589</c:v>
                </c:pt>
                <c:pt idx="544">
                  <c:v>442</c:v>
                </c:pt>
                <c:pt idx="545">
                  <c:v>442</c:v>
                </c:pt>
                <c:pt idx="546">
                  <c:v>389</c:v>
                </c:pt>
                <c:pt idx="547">
                  <c:v>495</c:v>
                </c:pt>
                <c:pt idx="548">
                  <c:v>409</c:v>
                </c:pt>
                <c:pt idx="549">
                  <c:v>592</c:v>
                </c:pt>
                <c:pt idx="550">
                  <c:v>500</c:v>
                </c:pt>
                <c:pt idx="551">
                  <c:v>637</c:v>
                </c:pt>
                <c:pt idx="552">
                  <c:v>330</c:v>
                </c:pt>
                <c:pt idx="553">
                  <c:v>528</c:v>
                </c:pt>
                <c:pt idx="554">
                  <c:v>629</c:v>
                </c:pt>
                <c:pt idx="555">
                  <c:v>241</c:v>
                </c:pt>
                <c:pt idx="556">
                  <c:v>460</c:v>
                </c:pt>
                <c:pt idx="557">
                  <c:v>552</c:v>
                </c:pt>
                <c:pt idx="558">
                  <c:v>384</c:v>
                </c:pt>
                <c:pt idx="559">
                  <c:v>486</c:v>
                </c:pt>
                <c:pt idx="560">
                  <c:v>389</c:v>
                </c:pt>
                <c:pt idx="561">
                  <c:v>432</c:v>
                </c:pt>
                <c:pt idx="562">
                  <c:v>289</c:v>
                </c:pt>
                <c:pt idx="563">
                  <c:v>497</c:v>
                </c:pt>
                <c:pt idx="564">
                  <c:v>531</c:v>
                </c:pt>
                <c:pt idx="565">
                  <c:v>389</c:v>
                </c:pt>
                <c:pt idx="566">
                  <c:v>647</c:v>
                </c:pt>
                <c:pt idx="567">
                  <c:v>577</c:v>
                </c:pt>
                <c:pt idx="568">
                  <c:v>289</c:v>
                </c:pt>
                <c:pt idx="569">
                  <c:v>546</c:v>
                </c:pt>
                <c:pt idx="570">
                  <c:v>574</c:v>
                </c:pt>
                <c:pt idx="571">
                  <c:v>439</c:v>
                </c:pt>
                <c:pt idx="572">
                  <c:v>632</c:v>
                </c:pt>
                <c:pt idx="573">
                  <c:v>621</c:v>
                </c:pt>
                <c:pt idx="574">
                  <c:v>290</c:v>
                </c:pt>
                <c:pt idx="575">
                  <c:v>569</c:v>
                </c:pt>
                <c:pt idx="576">
                  <c:v>565</c:v>
                </c:pt>
                <c:pt idx="577">
                  <c:v>571</c:v>
                </c:pt>
                <c:pt idx="578">
                  <c:v>491</c:v>
                </c:pt>
                <c:pt idx="579">
                  <c:v>550</c:v>
                </c:pt>
                <c:pt idx="580">
                  <c:v>866</c:v>
                </c:pt>
                <c:pt idx="581">
                  <c:v>730</c:v>
                </c:pt>
                <c:pt idx="582">
                  <c:v>624</c:v>
                </c:pt>
                <c:pt idx="583">
                  <c:v>526</c:v>
                </c:pt>
                <c:pt idx="584">
                  <c:v>525</c:v>
                </c:pt>
                <c:pt idx="585">
                  <c:v>489</c:v>
                </c:pt>
                <c:pt idx="586">
                  <c:v>579</c:v>
                </c:pt>
                <c:pt idx="587">
                  <c:v>606</c:v>
                </c:pt>
                <c:pt idx="588">
                  <c:v>289</c:v>
                </c:pt>
                <c:pt idx="589">
                  <c:v>518</c:v>
                </c:pt>
                <c:pt idx="590">
                  <c:v>544</c:v>
                </c:pt>
                <c:pt idx="591">
                  <c:v>556</c:v>
                </c:pt>
                <c:pt idx="592">
                  <c:v>489</c:v>
                </c:pt>
                <c:pt idx="593">
                  <c:v>418</c:v>
                </c:pt>
                <c:pt idx="594">
                  <c:v>727</c:v>
                </c:pt>
                <c:pt idx="595">
                  <c:v>717</c:v>
                </c:pt>
                <c:pt idx="596">
                  <c:v>191</c:v>
                </c:pt>
                <c:pt idx="597">
                  <c:v>417</c:v>
                </c:pt>
                <c:pt idx="598">
                  <c:v>598</c:v>
                </c:pt>
                <c:pt idx="599">
                  <c:v>215</c:v>
                </c:pt>
                <c:pt idx="600">
                  <c:v>593</c:v>
                </c:pt>
                <c:pt idx="601">
                  <c:v>479</c:v>
                </c:pt>
                <c:pt idx="602">
                  <c:v>477</c:v>
                </c:pt>
                <c:pt idx="603">
                  <c:v>432</c:v>
                </c:pt>
                <c:pt idx="604">
                  <c:v>224</c:v>
                </c:pt>
                <c:pt idx="605">
                  <c:v>589</c:v>
                </c:pt>
                <c:pt idx="606">
                  <c:v>447</c:v>
                </c:pt>
                <c:pt idx="607">
                  <c:v>516</c:v>
                </c:pt>
                <c:pt idx="608">
                  <c:v>499</c:v>
                </c:pt>
                <c:pt idx="609">
                  <c:v>339</c:v>
                </c:pt>
                <c:pt idx="610">
                  <c:v>580</c:v>
                </c:pt>
                <c:pt idx="611">
                  <c:v>289</c:v>
                </c:pt>
                <c:pt idx="612">
                  <c:v>425</c:v>
                </c:pt>
                <c:pt idx="613">
                  <c:v>496</c:v>
                </c:pt>
                <c:pt idx="614">
                  <c:v>675</c:v>
                </c:pt>
                <c:pt idx="615">
                  <c:v>439</c:v>
                </c:pt>
                <c:pt idx="616">
                  <c:v>596</c:v>
                </c:pt>
                <c:pt idx="617">
                  <c:v>334</c:v>
                </c:pt>
                <c:pt idx="618">
                  <c:v>539</c:v>
                </c:pt>
                <c:pt idx="619">
                  <c:v>439</c:v>
                </c:pt>
                <c:pt idx="620">
                  <c:v>439</c:v>
                </c:pt>
                <c:pt idx="621">
                  <c:v>415</c:v>
                </c:pt>
                <c:pt idx="622">
                  <c:v>400</c:v>
                </c:pt>
                <c:pt idx="623">
                  <c:v>820</c:v>
                </c:pt>
                <c:pt idx="624">
                  <c:v>668</c:v>
                </c:pt>
                <c:pt idx="625">
                  <c:v>760</c:v>
                </c:pt>
                <c:pt idx="626">
                  <c:v>397</c:v>
                </c:pt>
                <c:pt idx="627">
                  <c:v>371</c:v>
                </c:pt>
                <c:pt idx="628">
                  <c:v>405</c:v>
                </c:pt>
                <c:pt idx="629">
                  <c:v>417</c:v>
                </c:pt>
                <c:pt idx="630">
                  <c:v>366</c:v>
                </c:pt>
                <c:pt idx="631">
                  <c:v>529</c:v>
                </c:pt>
                <c:pt idx="632">
                  <c:v>497</c:v>
                </c:pt>
                <c:pt idx="633">
                  <c:v>475</c:v>
                </c:pt>
                <c:pt idx="634">
                  <c:v>650</c:v>
                </c:pt>
                <c:pt idx="635">
                  <c:v>567</c:v>
                </c:pt>
                <c:pt idx="636">
                  <c:v>386</c:v>
                </c:pt>
                <c:pt idx="637">
                  <c:v>687</c:v>
                </c:pt>
                <c:pt idx="638">
                  <c:v>371</c:v>
                </c:pt>
                <c:pt idx="639">
                  <c:v>589</c:v>
                </c:pt>
                <c:pt idx="640">
                  <c:v>584</c:v>
                </c:pt>
                <c:pt idx="641">
                  <c:v>518</c:v>
                </c:pt>
                <c:pt idx="642">
                  <c:v>439</c:v>
                </c:pt>
                <c:pt idx="643">
                  <c:v>434</c:v>
                </c:pt>
                <c:pt idx="644">
                  <c:v>422</c:v>
                </c:pt>
                <c:pt idx="645">
                  <c:v>621</c:v>
                </c:pt>
                <c:pt idx="646">
                  <c:v>499</c:v>
                </c:pt>
                <c:pt idx="647">
                  <c:v>389</c:v>
                </c:pt>
                <c:pt idx="648">
                  <c:v>489</c:v>
                </c:pt>
                <c:pt idx="649">
                  <c:v>427</c:v>
                </c:pt>
                <c:pt idx="650">
                  <c:v>576</c:v>
                </c:pt>
                <c:pt idx="651">
                  <c:v>473</c:v>
                </c:pt>
                <c:pt idx="652">
                  <c:v>526</c:v>
                </c:pt>
                <c:pt idx="653">
                  <c:v>359</c:v>
                </c:pt>
                <c:pt idx="654">
                  <c:v>589</c:v>
                </c:pt>
                <c:pt idx="655">
                  <c:v>439</c:v>
                </c:pt>
                <c:pt idx="656">
                  <c:v>426</c:v>
                </c:pt>
                <c:pt idx="657">
                  <c:v>464</c:v>
                </c:pt>
                <c:pt idx="658">
                  <c:v>605</c:v>
                </c:pt>
                <c:pt idx="659">
                  <c:v>657</c:v>
                </c:pt>
                <c:pt idx="660">
                  <c:v>491</c:v>
                </c:pt>
                <c:pt idx="661">
                  <c:v>688</c:v>
                </c:pt>
                <c:pt idx="662">
                  <c:v>497</c:v>
                </c:pt>
                <c:pt idx="663">
                  <c:v>536</c:v>
                </c:pt>
                <c:pt idx="664">
                  <c:v>449</c:v>
                </c:pt>
                <c:pt idx="665">
                  <c:v>530</c:v>
                </c:pt>
                <c:pt idx="666">
                  <c:v>631</c:v>
                </c:pt>
                <c:pt idx="667">
                  <c:v>505</c:v>
                </c:pt>
                <c:pt idx="668">
                  <c:v>558</c:v>
                </c:pt>
                <c:pt idx="669">
                  <c:v>789</c:v>
                </c:pt>
                <c:pt idx="670">
                  <c:v>928</c:v>
                </c:pt>
                <c:pt idx="671">
                  <c:v>434</c:v>
                </c:pt>
                <c:pt idx="672">
                  <c:v>511</c:v>
                </c:pt>
                <c:pt idx="673">
                  <c:v>328</c:v>
                </c:pt>
                <c:pt idx="674">
                  <c:v>471</c:v>
                </c:pt>
                <c:pt idx="675">
                  <c:v>496</c:v>
                </c:pt>
                <c:pt idx="676">
                  <c:v>591</c:v>
                </c:pt>
                <c:pt idx="677">
                  <c:v>778</c:v>
                </c:pt>
                <c:pt idx="678">
                  <c:v>507</c:v>
                </c:pt>
                <c:pt idx="679">
                  <c:v>168</c:v>
                </c:pt>
                <c:pt idx="680">
                  <c:v>443</c:v>
                </c:pt>
                <c:pt idx="681">
                  <c:v>492</c:v>
                </c:pt>
                <c:pt idx="682">
                  <c:v>468</c:v>
                </c:pt>
                <c:pt idx="683">
                  <c:v>556</c:v>
                </c:pt>
                <c:pt idx="684">
                  <c:v>289</c:v>
                </c:pt>
                <c:pt idx="685">
                  <c:v>449</c:v>
                </c:pt>
                <c:pt idx="686">
                  <c:v>340</c:v>
                </c:pt>
                <c:pt idx="687">
                  <c:v>363</c:v>
                </c:pt>
                <c:pt idx="688">
                  <c:v>389</c:v>
                </c:pt>
                <c:pt idx="689">
                  <c:v>649</c:v>
                </c:pt>
                <c:pt idx="690">
                  <c:v>506</c:v>
                </c:pt>
                <c:pt idx="691">
                  <c:v>439</c:v>
                </c:pt>
                <c:pt idx="692">
                  <c:v>499</c:v>
                </c:pt>
                <c:pt idx="693">
                  <c:v>533</c:v>
                </c:pt>
                <c:pt idx="694">
                  <c:v>463</c:v>
                </c:pt>
                <c:pt idx="695">
                  <c:v>504</c:v>
                </c:pt>
                <c:pt idx="696">
                  <c:v>589</c:v>
                </c:pt>
                <c:pt idx="697">
                  <c:v>596</c:v>
                </c:pt>
                <c:pt idx="698">
                  <c:v>539</c:v>
                </c:pt>
                <c:pt idx="699">
                  <c:v>507</c:v>
                </c:pt>
                <c:pt idx="700">
                  <c:v>586</c:v>
                </c:pt>
                <c:pt idx="701">
                  <c:v>378</c:v>
                </c:pt>
                <c:pt idx="702">
                  <c:v>484</c:v>
                </c:pt>
                <c:pt idx="703">
                  <c:v>489</c:v>
                </c:pt>
                <c:pt idx="704">
                  <c:v>527</c:v>
                </c:pt>
                <c:pt idx="705">
                  <c:v>416</c:v>
                </c:pt>
                <c:pt idx="706">
                  <c:v>463</c:v>
                </c:pt>
                <c:pt idx="707">
                  <c:v>508</c:v>
                </c:pt>
                <c:pt idx="708">
                  <c:v>589</c:v>
                </c:pt>
                <c:pt idx="709">
                  <c:v>544</c:v>
                </c:pt>
                <c:pt idx="710">
                  <c:v>373</c:v>
                </c:pt>
                <c:pt idx="711">
                  <c:v>690</c:v>
                </c:pt>
                <c:pt idx="712">
                  <c:v>389</c:v>
                </c:pt>
                <c:pt idx="713">
                  <c:v>376</c:v>
                </c:pt>
                <c:pt idx="714">
                  <c:v>580</c:v>
                </c:pt>
                <c:pt idx="715">
                  <c:v>789</c:v>
                </c:pt>
                <c:pt idx="716">
                  <c:v>538</c:v>
                </c:pt>
                <c:pt idx="717">
                  <c:v>720</c:v>
                </c:pt>
                <c:pt idx="718">
                  <c:v>453</c:v>
                </c:pt>
                <c:pt idx="719">
                  <c:v>580</c:v>
                </c:pt>
                <c:pt idx="720">
                  <c:v>594</c:v>
                </c:pt>
                <c:pt idx="721">
                  <c:v>575</c:v>
                </c:pt>
                <c:pt idx="722">
                  <c:v>726</c:v>
                </c:pt>
                <c:pt idx="723">
                  <c:v>572</c:v>
                </c:pt>
                <c:pt idx="724">
                  <c:v>775</c:v>
                </c:pt>
                <c:pt idx="725">
                  <c:v>553</c:v>
                </c:pt>
                <c:pt idx="726">
                  <c:v>498</c:v>
                </c:pt>
                <c:pt idx="727">
                  <c:v>430</c:v>
                </c:pt>
                <c:pt idx="728">
                  <c:v>474</c:v>
                </c:pt>
                <c:pt idx="729">
                  <c:v>447</c:v>
                </c:pt>
                <c:pt idx="730">
                  <c:v>426</c:v>
                </c:pt>
                <c:pt idx="731">
                  <c:v>445</c:v>
                </c:pt>
                <c:pt idx="732">
                  <c:v>481</c:v>
                </c:pt>
                <c:pt idx="733">
                  <c:v>359</c:v>
                </c:pt>
                <c:pt idx="734">
                  <c:v>439</c:v>
                </c:pt>
                <c:pt idx="735">
                  <c:v>502</c:v>
                </c:pt>
                <c:pt idx="736">
                  <c:v>520</c:v>
                </c:pt>
                <c:pt idx="737">
                  <c:v>366</c:v>
                </c:pt>
                <c:pt idx="738">
                  <c:v>389</c:v>
                </c:pt>
                <c:pt idx="739">
                  <c:v>589</c:v>
                </c:pt>
                <c:pt idx="740">
                  <c:v>289</c:v>
                </c:pt>
                <c:pt idx="741">
                  <c:v>452</c:v>
                </c:pt>
                <c:pt idx="742">
                  <c:v>405</c:v>
                </c:pt>
                <c:pt idx="743">
                  <c:v>459</c:v>
                </c:pt>
                <c:pt idx="744">
                  <c:v>517</c:v>
                </c:pt>
                <c:pt idx="745">
                  <c:v>748</c:v>
                </c:pt>
                <c:pt idx="746">
                  <c:v>607</c:v>
                </c:pt>
                <c:pt idx="747">
                  <c:v>494</c:v>
                </c:pt>
                <c:pt idx="748">
                  <c:v>539</c:v>
                </c:pt>
                <c:pt idx="749">
                  <c:v>589</c:v>
                </c:pt>
                <c:pt idx="750">
                  <c:v>541</c:v>
                </c:pt>
                <c:pt idx="751">
                  <c:v>539</c:v>
                </c:pt>
                <c:pt idx="752">
                  <c:v>441</c:v>
                </c:pt>
                <c:pt idx="753">
                  <c:v>539</c:v>
                </c:pt>
                <c:pt idx="754">
                  <c:v>433</c:v>
                </c:pt>
                <c:pt idx="755">
                  <c:v>636</c:v>
                </c:pt>
                <c:pt idx="756">
                  <c:v>717</c:v>
                </c:pt>
                <c:pt idx="757">
                  <c:v>347</c:v>
                </c:pt>
                <c:pt idx="758">
                  <c:v>507</c:v>
                </c:pt>
                <c:pt idx="759">
                  <c:v>351</c:v>
                </c:pt>
                <c:pt idx="760">
                  <c:v>518</c:v>
                </c:pt>
                <c:pt idx="761">
                  <c:v>505</c:v>
                </c:pt>
                <c:pt idx="762">
                  <c:v>488</c:v>
                </c:pt>
                <c:pt idx="763">
                  <c:v>479</c:v>
                </c:pt>
                <c:pt idx="764">
                  <c:v>374</c:v>
                </c:pt>
                <c:pt idx="765">
                  <c:v>725</c:v>
                </c:pt>
                <c:pt idx="766">
                  <c:v>272</c:v>
                </c:pt>
                <c:pt idx="767">
                  <c:v>539</c:v>
                </c:pt>
                <c:pt idx="768">
                  <c:v>557</c:v>
                </c:pt>
                <c:pt idx="769">
                  <c:v>554</c:v>
                </c:pt>
                <c:pt idx="770">
                  <c:v>417</c:v>
                </c:pt>
                <c:pt idx="771">
                  <c:v>350</c:v>
                </c:pt>
                <c:pt idx="772">
                  <c:v>501</c:v>
                </c:pt>
                <c:pt idx="773">
                  <c:v>599</c:v>
                </c:pt>
                <c:pt idx="774">
                  <c:v>378</c:v>
                </c:pt>
                <c:pt idx="775">
                  <c:v>589</c:v>
                </c:pt>
                <c:pt idx="776">
                  <c:v>589</c:v>
                </c:pt>
                <c:pt idx="777">
                  <c:v>506</c:v>
                </c:pt>
                <c:pt idx="778">
                  <c:v>396</c:v>
                </c:pt>
                <c:pt idx="779">
                  <c:v>293</c:v>
                </c:pt>
                <c:pt idx="780">
                  <c:v>572</c:v>
                </c:pt>
                <c:pt idx="781">
                  <c:v>721</c:v>
                </c:pt>
                <c:pt idx="782">
                  <c:v>574</c:v>
                </c:pt>
                <c:pt idx="783">
                  <c:v>556</c:v>
                </c:pt>
                <c:pt idx="784">
                  <c:v>824</c:v>
                </c:pt>
                <c:pt idx="785">
                  <c:v>484</c:v>
                </c:pt>
                <c:pt idx="786">
                  <c:v>684</c:v>
                </c:pt>
                <c:pt idx="787">
                  <c:v>442</c:v>
                </c:pt>
                <c:pt idx="788">
                  <c:v>536</c:v>
                </c:pt>
                <c:pt idx="789">
                  <c:v>589</c:v>
                </c:pt>
                <c:pt idx="790">
                  <c:v>525</c:v>
                </c:pt>
                <c:pt idx="791">
                  <c:v>558</c:v>
                </c:pt>
                <c:pt idx="792">
                  <c:v>388</c:v>
                </c:pt>
                <c:pt idx="793">
                  <c:v>255</c:v>
                </c:pt>
                <c:pt idx="794">
                  <c:v>442</c:v>
                </c:pt>
                <c:pt idx="795">
                  <c:v>408</c:v>
                </c:pt>
                <c:pt idx="796">
                  <c:v>678</c:v>
                </c:pt>
                <c:pt idx="797">
                  <c:v>515</c:v>
                </c:pt>
                <c:pt idx="798">
                  <c:v>482</c:v>
                </c:pt>
                <c:pt idx="799">
                  <c:v>623</c:v>
                </c:pt>
                <c:pt idx="800">
                  <c:v>676</c:v>
                </c:pt>
                <c:pt idx="801">
                  <c:v>589</c:v>
                </c:pt>
                <c:pt idx="802">
                  <c:v>583</c:v>
                </c:pt>
                <c:pt idx="803">
                  <c:v>497</c:v>
                </c:pt>
                <c:pt idx="804">
                  <c:v>301</c:v>
                </c:pt>
                <c:pt idx="805">
                  <c:v>662</c:v>
                </c:pt>
                <c:pt idx="806">
                  <c:v>464</c:v>
                </c:pt>
                <c:pt idx="807">
                  <c:v>376</c:v>
                </c:pt>
                <c:pt idx="808">
                  <c:v>715</c:v>
                </c:pt>
                <c:pt idx="809">
                  <c:v>581</c:v>
                </c:pt>
                <c:pt idx="810">
                  <c:v>429</c:v>
                </c:pt>
                <c:pt idx="811">
                  <c:v>498</c:v>
                </c:pt>
                <c:pt idx="812">
                  <c:v>589</c:v>
                </c:pt>
                <c:pt idx="813">
                  <c:v>289</c:v>
                </c:pt>
                <c:pt idx="814">
                  <c:v>435</c:v>
                </c:pt>
                <c:pt idx="815">
                  <c:v>689</c:v>
                </c:pt>
                <c:pt idx="816">
                  <c:v>518</c:v>
                </c:pt>
                <c:pt idx="817">
                  <c:v>579</c:v>
                </c:pt>
                <c:pt idx="818">
                  <c:v>389</c:v>
                </c:pt>
                <c:pt idx="819">
                  <c:v>488</c:v>
                </c:pt>
                <c:pt idx="820">
                  <c:v>746</c:v>
                </c:pt>
                <c:pt idx="821">
                  <c:v>289</c:v>
                </c:pt>
                <c:pt idx="822">
                  <c:v>766</c:v>
                </c:pt>
                <c:pt idx="823">
                  <c:v>789</c:v>
                </c:pt>
                <c:pt idx="824">
                  <c:v>489</c:v>
                </c:pt>
                <c:pt idx="825">
                  <c:v>520</c:v>
                </c:pt>
                <c:pt idx="826">
                  <c:v>452</c:v>
                </c:pt>
                <c:pt idx="827">
                  <c:v>551</c:v>
                </c:pt>
                <c:pt idx="828">
                  <c:v>527</c:v>
                </c:pt>
                <c:pt idx="829">
                  <c:v>398</c:v>
                </c:pt>
                <c:pt idx="830">
                  <c:v>878</c:v>
                </c:pt>
                <c:pt idx="831">
                  <c:v>418</c:v>
                </c:pt>
                <c:pt idx="832">
                  <c:v>389</c:v>
                </c:pt>
                <c:pt idx="833">
                  <c:v>646</c:v>
                </c:pt>
                <c:pt idx="834">
                  <c:v>525</c:v>
                </c:pt>
                <c:pt idx="835">
                  <c:v>273</c:v>
                </c:pt>
                <c:pt idx="836">
                  <c:v>206</c:v>
                </c:pt>
                <c:pt idx="837">
                  <c:v>404</c:v>
                </c:pt>
                <c:pt idx="838">
                  <c:v>564</c:v>
                </c:pt>
                <c:pt idx="839">
                  <c:v>529</c:v>
                </c:pt>
                <c:pt idx="840">
                  <c:v>889</c:v>
                </c:pt>
                <c:pt idx="841">
                  <c:v>339</c:v>
                </c:pt>
                <c:pt idx="842">
                  <c:v>672</c:v>
                </c:pt>
                <c:pt idx="843">
                  <c:v>518</c:v>
                </c:pt>
                <c:pt idx="844">
                  <c:v>323</c:v>
                </c:pt>
                <c:pt idx="845">
                  <c:v>326</c:v>
                </c:pt>
                <c:pt idx="846">
                  <c:v>589</c:v>
                </c:pt>
                <c:pt idx="847">
                  <c:v>508</c:v>
                </c:pt>
                <c:pt idx="848">
                  <c:v>541</c:v>
                </c:pt>
                <c:pt idx="849">
                  <c:v>441</c:v>
                </c:pt>
                <c:pt idx="850">
                  <c:v>450</c:v>
                </c:pt>
                <c:pt idx="851">
                  <c:v>294</c:v>
                </c:pt>
                <c:pt idx="852">
                  <c:v>424</c:v>
                </c:pt>
                <c:pt idx="853">
                  <c:v>317</c:v>
                </c:pt>
                <c:pt idx="854">
                  <c:v>507</c:v>
                </c:pt>
                <c:pt idx="855">
                  <c:v>393</c:v>
                </c:pt>
                <c:pt idx="856">
                  <c:v>579</c:v>
                </c:pt>
                <c:pt idx="857">
                  <c:v>367</c:v>
                </c:pt>
                <c:pt idx="858">
                  <c:v>513</c:v>
                </c:pt>
                <c:pt idx="859">
                  <c:v>473</c:v>
                </c:pt>
                <c:pt idx="860">
                  <c:v>438</c:v>
                </c:pt>
                <c:pt idx="861">
                  <c:v>517</c:v>
                </c:pt>
                <c:pt idx="862">
                  <c:v>323</c:v>
                </c:pt>
                <c:pt idx="863">
                  <c:v>331</c:v>
                </c:pt>
                <c:pt idx="864">
                  <c:v>364</c:v>
                </c:pt>
                <c:pt idx="865">
                  <c:v>455</c:v>
                </c:pt>
                <c:pt idx="866">
                  <c:v>438</c:v>
                </c:pt>
                <c:pt idx="867">
                  <c:v>519</c:v>
                </c:pt>
                <c:pt idx="868">
                  <c:v>763</c:v>
                </c:pt>
                <c:pt idx="869">
                  <c:v>650</c:v>
                </c:pt>
                <c:pt idx="870">
                  <c:v>635</c:v>
                </c:pt>
                <c:pt idx="871">
                  <c:v>635</c:v>
                </c:pt>
                <c:pt idx="872">
                  <c:v>412</c:v>
                </c:pt>
                <c:pt idx="873">
                  <c:v>778</c:v>
                </c:pt>
                <c:pt idx="874">
                  <c:v>391</c:v>
                </c:pt>
                <c:pt idx="875">
                  <c:v>398</c:v>
                </c:pt>
                <c:pt idx="876">
                  <c:v>289</c:v>
                </c:pt>
                <c:pt idx="877">
                  <c:v>289</c:v>
                </c:pt>
                <c:pt idx="878">
                  <c:v>397</c:v>
                </c:pt>
                <c:pt idx="879">
                  <c:v>658</c:v>
                </c:pt>
                <c:pt idx="880">
                  <c:v>459</c:v>
                </c:pt>
                <c:pt idx="881">
                  <c:v>496</c:v>
                </c:pt>
                <c:pt idx="882">
                  <c:v>270</c:v>
                </c:pt>
                <c:pt idx="883">
                  <c:v>480</c:v>
                </c:pt>
                <c:pt idx="884">
                  <c:v>585</c:v>
                </c:pt>
                <c:pt idx="885">
                  <c:v>384</c:v>
                </c:pt>
                <c:pt idx="886">
                  <c:v>594</c:v>
                </c:pt>
                <c:pt idx="887">
                  <c:v>322</c:v>
                </c:pt>
                <c:pt idx="888">
                  <c:v>624</c:v>
                </c:pt>
                <c:pt idx="889">
                  <c:v>604</c:v>
                </c:pt>
                <c:pt idx="890">
                  <c:v>384</c:v>
                </c:pt>
                <c:pt idx="891">
                  <c:v>424</c:v>
                </c:pt>
                <c:pt idx="892">
                  <c:v>489</c:v>
                </c:pt>
                <c:pt idx="893">
                  <c:v>796</c:v>
                </c:pt>
                <c:pt idx="894">
                  <c:v>477</c:v>
                </c:pt>
                <c:pt idx="895">
                  <c:v>411</c:v>
                </c:pt>
                <c:pt idx="896">
                  <c:v>439</c:v>
                </c:pt>
                <c:pt idx="897">
                  <c:v>560</c:v>
                </c:pt>
                <c:pt idx="898">
                  <c:v>400</c:v>
                </c:pt>
                <c:pt idx="899">
                  <c:v>368</c:v>
                </c:pt>
                <c:pt idx="900">
                  <c:v>335</c:v>
                </c:pt>
                <c:pt idx="901">
                  <c:v>463</c:v>
                </c:pt>
                <c:pt idx="902">
                  <c:v>394</c:v>
                </c:pt>
                <c:pt idx="903">
                  <c:v>749</c:v>
                </c:pt>
                <c:pt idx="904">
                  <c:v>410</c:v>
                </c:pt>
                <c:pt idx="905">
                  <c:v>433</c:v>
                </c:pt>
                <c:pt idx="906">
                  <c:v>519</c:v>
                </c:pt>
                <c:pt idx="907">
                  <c:v>589</c:v>
                </c:pt>
                <c:pt idx="908">
                  <c:v>842</c:v>
                </c:pt>
                <c:pt idx="909">
                  <c:v>589</c:v>
                </c:pt>
                <c:pt idx="910">
                  <c:v>539</c:v>
                </c:pt>
                <c:pt idx="911">
                  <c:v>428</c:v>
                </c:pt>
                <c:pt idx="912">
                  <c:v>587</c:v>
                </c:pt>
                <c:pt idx="913">
                  <c:v>481</c:v>
                </c:pt>
                <c:pt idx="914">
                  <c:v>778</c:v>
                </c:pt>
                <c:pt idx="915">
                  <c:v>479</c:v>
                </c:pt>
                <c:pt idx="916">
                  <c:v>582</c:v>
                </c:pt>
                <c:pt idx="917">
                  <c:v>651</c:v>
                </c:pt>
                <c:pt idx="918">
                  <c:v>574</c:v>
                </c:pt>
                <c:pt idx="919">
                  <c:v>673</c:v>
                </c:pt>
                <c:pt idx="920">
                  <c:v>534</c:v>
                </c:pt>
                <c:pt idx="921">
                  <c:v>398</c:v>
                </c:pt>
                <c:pt idx="922">
                  <c:v>289</c:v>
                </c:pt>
                <c:pt idx="923">
                  <c:v>589</c:v>
                </c:pt>
                <c:pt idx="924">
                  <c:v>271</c:v>
                </c:pt>
                <c:pt idx="925">
                  <c:v>384</c:v>
                </c:pt>
                <c:pt idx="926">
                  <c:v>407</c:v>
                </c:pt>
                <c:pt idx="927">
                  <c:v>967</c:v>
                </c:pt>
                <c:pt idx="928">
                  <c:v>630</c:v>
                </c:pt>
                <c:pt idx="929">
                  <c:v>377</c:v>
                </c:pt>
                <c:pt idx="930">
                  <c:v>456</c:v>
                </c:pt>
                <c:pt idx="931">
                  <c:v>704</c:v>
                </c:pt>
                <c:pt idx="932">
                  <c:v>503</c:v>
                </c:pt>
                <c:pt idx="933">
                  <c:v>363</c:v>
                </c:pt>
                <c:pt idx="934">
                  <c:v>453</c:v>
                </c:pt>
                <c:pt idx="935">
                  <c:v>456</c:v>
                </c:pt>
                <c:pt idx="936">
                  <c:v>480</c:v>
                </c:pt>
                <c:pt idx="937">
                  <c:v>425</c:v>
                </c:pt>
                <c:pt idx="938">
                  <c:v>424</c:v>
                </c:pt>
                <c:pt idx="939">
                  <c:v>732</c:v>
                </c:pt>
                <c:pt idx="940">
                  <c:v>895</c:v>
                </c:pt>
                <c:pt idx="941">
                  <c:v>477</c:v>
                </c:pt>
                <c:pt idx="942">
                  <c:v>571</c:v>
                </c:pt>
                <c:pt idx="943">
                  <c:v>744</c:v>
                </c:pt>
                <c:pt idx="944">
                  <c:v>419</c:v>
                </c:pt>
                <c:pt idx="945">
                  <c:v>550</c:v>
                </c:pt>
                <c:pt idx="946">
                  <c:v>588</c:v>
                </c:pt>
                <c:pt idx="947">
                  <c:v>443</c:v>
                </c:pt>
                <c:pt idx="948">
                  <c:v>539</c:v>
                </c:pt>
                <c:pt idx="949">
                  <c:v>397</c:v>
                </c:pt>
                <c:pt idx="950">
                  <c:v>368</c:v>
                </c:pt>
                <c:pt idx="951">
                  <c:v>496</c:v>
                </c:pt>
                <c:pt idx="952">
                  <c:v>254</c:v>
                </c:pt>
                <c:pt idx="953">
                  <c:v>589</c:v>
                </c:pt>
                <c:pt idx="954">
                  <c:v>558</c:v>
                </c:pt>
                <c:pt idx="955">
                  <c:v>564</c:v>
                </c:pt>
                <c:pt idx="956">
                  <c:v>546</c:v>
                </c:pt>
                <c:pt idx="957">
                  <c:v>441</c:v>
                </c:pt>
                <c:pt idx="958">
                  <c:v>405</c:v>
                </c:pt>
                <c:pt idx="959">
                  <c:v>489</c:v>
                </c:pt>
                <c:pt idx="960">
                  <c:v>573</c:v>
                </c:pt>
                <c:pt idx="961">
                  <c:v>717</c:v>
                </c:pt>
                <c:pt idx="962">
                  <c:v>437</c:v>
                </c:pt>
                <c:pt idx="963">
                  <c:v>575</c:v>
                </c:pt>
                <c:pt idx="964">
                  <c:v>445</c:v>
                </c:pt>
                <c:pt idx="965">
                  <c:v>420</c:v>
                </c:pt>
                <c:pt idx="966">
                  <c:v>633</c:v>
                </c:pt>
                <c:pt idx="967">
                  <c:v>556</c:v>
                </c:pt>
                <c:pt idx="968">
                  <c:v>522</c:v>
                </c:pt>
                <c:pt idx="969">
                  <c:v>703</c:v>
                </c:pt>
                <c:pt idx="970">
                  <c:v>395</c:v>
                </c:pt>
                <c:pt idx="971">
                  <c:v>445</c:v>
                </c:pt>
                <c:pt idx="972">
                  <c:v>417</c:v>
                </c:pt>
                <c:pt idx="973">
                  <c:v>481</c:v>
                </c:pt>
                <c:pt idx="974">
                  <c:v>489</c:v>
                </c:pt>
                <c:pt idx="975">
                  <c:v>540</c:v>
                </c:pt>
                <c:pt idx="976">
                  <c:v>409</c:v>
                </c:pt>
                <c:pt idx="977">
                  <c:v>424</c:v>
                </c:pt>
                <c:pt idx="978">
                  <c:v>489</c:v>
                </c:pt>
                <c:pt idx="979">
                  <c:v>576</c:v>
                </c:pt>
                <c:pt idx="980">
                  <c:v>325</c:v>
                </c:pt>
                <c:pt idx="981">
                  <c:v>419</c:v>
                </c:pt>
                <c:pt idx="982">
                  <c:v>558</c:v>
                </c:pt>
                <c:pt idx="983">
                  <c:v>395</c:v>
                </c:pt>
                <c:pt idx="984">
                  <c:v>652</c:v>
                </c:pt>
                <c:pt idx="985">
                  <c:v>563</c:v>
                </c:pt>
                <c:pt idx="986">
                  <c:v>327</c:v>
                </c:pt>
                <c:pt idx="987">
                  <c:v>428</c:v>
                </c:pt>
                <c:pt idx="988">
                  <c:v>492</c:v>
                </c:pt>
                <c:pt idx="989">
                  <c:v>422</c:v>
                </c:pt>
                <c:pt idx="990">
                  <c:v>401</c:v>
                </c:pt>
                <c:pt idx="991">
                  <c:v>449</c:v>
                </c:pt>
                <c:pt idx="992">
                  <c:v>489</c:v>
                </c:pt>
                <c:pt idx="993">
                  <c:v>589</c:v>
                </c:pt>
                <c:pt idx="994">
                  <c:v>551</c:v>
                </c:pt>
                <c:pt idx="995">
                  <c:v>539</c:v>
                </c:pt>
                <c:pt idx="996">
                  <c:v>574</c:v>
                </c:pt>
                <c:pt idx="997">
                  <c:v>566</c:v>
                </c:pt>
                <c:pt idx="998">
                  <c:v>451</c:v>
                </c:pt>
                <c:pt idx="999">
                  <c:v>662</c:v>
                </c:pt>
              </c:numCache>
            </c:numRef>
          </c:yVal>
          <c:smooth val="0"/>
          <c:extLst>
            <c:ext xmlns:c16="http://schemas.microsoft.com/office/drawing/2014/chart" uri="{C3380CC4-5D6E-409C-BE32-E72D297353CC}">
              <c16:uniqueId val="{00000001-C4EE-4988-AFA6-646E9E194835}"/>
            </c:ext>
          </c:extLst>
        </c:ser>
        <c:dLbls>
          <c:showLegendKey val="0"/>
          <c:showVal val="0"/>
          <c:showCatName val="0"/>
          <c:showSerName val="0"/>
          <c:showPercent val="0"/>
          <c:showBubbleSize val="0"/>
        </c:dLbls>
        <c:axId val="2037393472"/>
        <c:axId val="2036962656"/>
      </c:scatterChart>
      <c:valAx>
        <c:axId val="2037393472"/>
        <c:scaling>
          <c:orientation val="minMax"/>
        </c:scaling>
        <c:delete val="0"/>
        <c:axPos val="b"/>
        <c:majorGridlines>
          <c:spPr>
            <a:ln w="9525" cap="flat" cmpd="sng" algn="ctr">
              <a:solidFill>
                <a:schemeClr val="tx1">
                  <a:lumMod val="15000"/>
                  <a:lumOff val="85000"/>
                </a:schemeClr>
              </a:solidFill>
              <a:round/>
            </a:ln>
            <a:effectLst/>
          </c:spPr>
        </c:majorGridlines>
        <c:numFmt formatCode="0\ &quot;Years&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962656"/>
        <c:crosses val="autoZero"/>
        <c:crossBetween val="midCat"/>
      </c:valAx>
      <c:valAx>
        <c:axId val="203696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3934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[Used_Phone_Price_Prediction_Dataset_1000.xlsx]Analysis!PivotTable5</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101541737535464E-2"/>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359938862848100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3321850085042616"/>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4">
              <a:lumMod val="60000"/>
            </a:schemeClr>
          </a:solidFill>
          <a:ln w="19050">
            <a:solidFill>
              <a:schemeClr val="lt1"/>
            </a:solidFill>
          </a:ln>
          <a:effectLst/>
        </c:spPr>
        <c:dLbl>
          <c:idx val="0"/>
          <c:layout>
            <c:manualLayout>
              <c:x val="-4.1630781515758233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3">
              <a:lumMod val="60000"/>
            </a:schemeClr>
          </a:solidFill>
          <a:ln w="19050">
            <a:solidFill>
              <a:schemeClr val="lt1"/>
            </a:solidFill>
          </a:ln>
          <a:effectLst/>
        </c:spPr>
        <c:dLbl>
          <c:idx val="0"/>
          <c:layout>
            <c:manualLayout>
              <c:x val="-0.1193415736785067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lumMod val="60000"/>
            </a:schemeClr>
          </a:solidFill>
          <a:ln w="19050">
            <a:solidFill>
              <a:schemeClr val="lt1"/>
            </a:solidFill>
          </a:ln>
          <a:effectLst/>
        </c:spPr>
        <c:dLbl>
          <c:idx val="0"/>
          <c:layout>
            <c:manualLayout>
              <c:x val="-0.130443115416042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lumMod val="60000"/>
            </a:schemeClr>
          </a:solidFill>
          <a:ln w="19050">
            <a:solidFill>
              <a:schemeClr val="lt1"/>
            </a:solidFill>
          </a:ln>
          <a:effectLst/>
        </c:spPr>
        <c:dLbl>
          <c:idx val="0"/>
          <c:layout>
            <c:manualLayout>
              <c:x val="-0.1193415736785067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4.7181552384525934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layout>
            <c:manualLayout>
              <c:x val="-2.7753854343839294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6.1058479556445333E-2"/>
              <c:y val="0.12037037037037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1101541737535464E-2"/>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59938862848100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321850085042616"/>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6.1058479556445333E-2"/>
              <c:y val="0.12037037037037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2.7753854343839294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4.7181552384525934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193415736785067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30443115416042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193415736785067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4.1630781515758233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1.1101541737535464E-2"/>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359938862848100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3321850085042616"/>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6.1058479556445333E-2"/>
              <c:y val="0.12037037037037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2.7753854343839294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4.7181552384525934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193415736785067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130443115416042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193415736785067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4.1630781515758233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Analysis!$K$13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8E-4313-A8B4-229E9C65DF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8E-4313-A8B4-229E9C65DF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8E-4313-A8B4-229E9C65DF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8E-4313-A8B4-229E9C65DF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8E-4313-A8B4-229E9C65DF5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68E-4313-A8B4-229E9C65DF5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68E-4313-A8B4-229E9C65DF5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68E-4313-A8B4-229E9C65DF5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68E-4313-A8B4-229E9C65DF5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68E-4313-A8B4-229E9C65DF54}"/>
              </c:ext>
            </c:extLst>
          </c:dPt>
          <c:dLbls>
            <c:dLbl>
              <c:idx val="0"/>
              <c:layout>
                <c:manualLayout>
                  <c:x val="1.1101541737535464E-2"/>
                  <c:y val="-0.125000000000000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8E-4313-A8B4-229E9C65DF54}"/>
                </c:ext>
              </c:extLst>
            </c:dLbl>
            <c:dLbl>
              <c:idx val="1"/>
              <c:layout>
                <c:manualLayout>
                  <c:x val="0.13599388628481004"/>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8E-4313-A8B4-229E9C65DF54}"/>
                </c:ext>
              </c:extLst>
            </c:dLbl>
            <c:dLbl>
              <c:idx val="2"/>
              <c:layout>
                <c:manualLayout>
                  <c:x val="0.13321850085042616"/>
                  <c:y val="4.629629629629544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8E-4313-A8B4-229E9C65DF54}"/>
                </c:ext>
              </c:extLst>
            </c:dLbl>
            <c:dLbl>
              <c:idx val="3"/>
              <c:layout>
                <c:manualLayout>
                  <c:x val="6.1058479556445333E-2"/>
                  <c:y val="0.120370370370370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8E-4313-A8B4-229E9C65DF54}"/>
                </c:ext>
              </c:extLst>
            </c:dLbl>
            <c:dLbl>
              <c:idx val="4"/>
              <c:layout>
                <c:manualLayout>
                  <c:x val="-2.7753854343839294E-3"/>
                  <c:y val="9.72222222222222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68E-4313-A8B4-229E9C65DF54}"/>
                </c:ext>
              </c:extLst>
            </c:dLbl>
            <c:dLbl>
              <c:idx val="5"/>
              <c:layout>
                <c:manualLayout>
                  <c:x val="-4.7181552384525934E-2"/>
                  <c:y val="0.1203703703703703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68E-4313-A8B4-229E9C65DF54}"/>
                </c:ext>
              </c:extLst>
            </c:dLbl>
            <c:dLbl>
              <c:idx val="6"/>
              <c:layout>
                <c:manualLayout>
                  <c:x val="-0.11934157367850678"/>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68E-4313-A8B4-229E9C65DF54}"/>
                </c:ext>
              </c:extLst>
            </c:dLbl>
            <c:dLbl>
              <c:idx val="7"/>
              <c:layout>
                <c:manualLayout>
                  <c:x val="-0.13044311541604228"/>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68E-4313-A8B4-229E9C65DF54}"/>
                </c:ext>
              </c:extLst>
            </c:dLbl>
            <c:dLbl>
              <c:idx val="8"/>
              <c:layout>
                <c:manualLayout>
                  <c:x val="-0.11934157367850678"/>
                  <c:y val="4.629629629629629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68E-4313-A8B4-229E9C65DF54}"/>
                </c:ext>
              </c:extLst>
            </c:dLbl>
            <c:dLbl>
              <c:idx val="9"/>
              <c:layout>
                <c:manualLayout>
                  <c:x val="-4.1630781515758233E-2"/>
                  <c:y val="-0.1018518518518518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68E-4313-A8B4-229E9C65DF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Analysis!$J$14:$J$24</c:f>
              <c:strCache>
                <c:ptCount val="10"/>
                <c:pt idx="0">
                  <c:v>Apple</c:v>
                </c:pt>
                <c:pt idx="1">
                  <c:v>Google</c:v>
                </c:pt>
                <c:pt idx="2">
                  <c:v>Huawei</c:v>
                </c:pt>
                <c:pt idx="3">
                  <c:v>Motorola</c:v>
                </c:pt>
                <c:pt idx="4">
                  <c:v>OnePlus</c:v>
                </c:pt>
                <c:pt idx="5">
                  <c:v>OPPO</c:v>
                </c:pt>
                <c:pt idx="6">
                  <c:v>Realme</c:v>
                </c:pt>
                <c:pt idx="7">
                  <c:v>Samsung</c:v>
                </c:pt>
                <c:pt idx="8">
                  <c:v>vivo</c:v>
                </c:pt>
                <c:pt idx="9">
                  <c:v>Xiaomi</c:v>
                </c:pt>
              </c:strCache>
            </c:strRef>
          </c:cat>
          <c:val>
            <c:numRef>
              <c:f>Analysis!$K$14:$K$24</c:f>
              <c:numCache>
                <c:formatCode>General</c:formatCode>
                <c:ptCount val="10"/>
                <c:pt idx="0">
                  <c:v>97</c:v>
                </c:pt>
                <c:pt idx="1">
                  <c:v>124</c:v>
                </c:pt>
                <c:pt idx="2">
                  <c:v>120</c:v>
                </c:pt>
                <c:pt idx="3">
                  <c:v>101</c:v>
                </c:pt>
                <c:pt idx="4">
                  <c:v>97</c:v>
                </c:pt>
                <c:pt idx="5">
                  <c:v>99</c:v>
                </c:pt>
                <c:pt idx="6">
                  <c:v>89</c:v>
                </c:pt>
                <c:pt idx="7">
                  <c:v>86</c:v>
                </c:pt>
                <c:pt idx="8">
                  <c:v>106</c:v>
                </c:pt>
                <c:pt idx="9">
                  <c:v>81</c:v>
                </c:pt>
              </c:numCache>
            </c:numRef>
          </c:val>
          <c:extLst>
            <c:ext xmlns:c16="http://schemas.microsoft.com/office/drawing/2014/chart" uri="{C3380CC4-5D6E-409C-BE32-E72D297353CC}">
              <c16:uniqueId val="{00000014-668E-4313-A8B4-229E9C65DF5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[Used_Phone_Price_Prediction_Dataset_1000.xlsx]Analysis!PivotTable8</c:name>
    <c:fmtId val="14"/>
  </c:pivotSource>
  <c:chart>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Analysis!$B$32:$B$33</c:f>
              <c:strCache>
                <c:ptCount val="1"/>
                <c:pt idx="0">
                  <c:v>Individual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Analysis!$A$34:$A$44</c:f>
              <c:strCache>
                <c:ptCount val="10"/>
                <c:pt idx="0">
                  <c:v>Apple</c:v>
                </c:pt>
                <c:pt idx="1">
                  <c:v>Google</c:v>
                </c:pt>
                <c:pt idx="2">
                  <c:v>Huawei</c:v>
                </c:pt>
                <c:pt idx="3">
                  <c:v>Motorola</c:v>
                </c:pt>
                <c:pt idx="4">
                  <c:v>OnePlus</c:v>
                </c:pt>
                <c:pt idx="5">
                  <c:v>OPPO</c:v>
                </c:pt>
                <c:pt idx="6">
                  <c:v>Realme</c:v>
                </c:pt>
                <c:pt idx="7">
                  <c:v>Samsung</c:v>
                </c:pt>
                <c:pt idx="8">
                  <c:v>vivo</c:v>
                </c:pt>
                <c:pt idx="9">
                  <c:v>Xiaomi</c:v>
                </c:pt>
              </c:strCache>
            </c:strRef>
          </c:cat>
          <c:val>
            <c:numRef>
              <c:f>Analysis!$B$34:$B$44</c:f>
              <c:numCache>
                <c:formatCode>General</c:formatCode>
                <c:ptCount val="10"/>
                <c:pt idx="0">
                  <c:v>48</c:v>
                </c:pt>
                <c:pt idx="1">
                  <c:v>79</c:v>
                </c:pt>
                <c:pt idx="2">
                  <c:v>58</c:v>
                </c:pt>
                <c:pt idx="3">
                  <c:v>50</c:v>
                </c:pt>
                <c:pt idx="4">
                  <c:v>49</c:v>
                </c:pt>
                <c:pt idx="5">
                  <c:v>48</c:v>
                </c:pt>
                <c:pt idx="6">
                  <c:v>44</c:v>
                </c:pt>
                <c:pt idx="7">
                  <c:v>45</c:v>
                </c:pt>
                <c:pt idx="8">
                  <c:v>53</c:v>
                </c:pt>
                <c:pt idx="9">
                  <c:v>37</c:v>
                </c:pt>
              </c:numCache>
            </c:numRef>
          </c:val>
          <c:smooth val="0"/>
          <c:extLst>
            <c:ext xmlns:c16="http://schemas.microsoft.com/office/drawing/2014/chart" uri="{C3380CC4-5D6E-409C-BE32-E72D297353CC}">
              <c16:uniqueId val="{00000000-1B74-4634-A29D-FB15331DF378}"/>
            </c:ext>
          </c:extLst>
        </c:ser>
        <c:ser>
          <c:idx val="1"/>
          <c:order val="1"/>
          <c:tx>
            <c:strRef>
              <c:f>Analysis!$C$32:$C$33</c:f>
              <c:strCache>
                <c:ptCount val="1"/>
                <c:pt idx="0">
                  <c:v>Store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Analysis!$A$34:$A$44</c:f>
              <c:strCache>
                <c:ptCount val="10"/>
                <c:pt idx="0">
                  <c:v>Apple</c:v>
                </c:pt>
                <c:pt idx="1">
                  <c:v>Google</c:v>
                </c:pt>
                <c:pt idx="2">
                  <c:v>Huawei</c:v>
                </c:pt>
                <c:pt idx="3">
                  <c:v>Motorola</c:v>
                </c:pt>
                <c:pt idx="4">
                  <c:v>OnePlus</c:v>
                </c:pt>
                <c:pt idx="5">
                  <c:v>OPPO</c:v>
                </c:pt>
                <c:pt idx="6">
                  <c:v>Realme</c:v>
                </c:pt>
                <c:pt idx="7">
                  <c:v>Samsung</c:v>
                </c:pt>
                <c:pt idx="8">
                  <c:v>vivo</c:v>
                </c:pt>
                <c:pt idx="9">
                  <c:v>Xiaomi</c:v>
                </c:pt>
              </c:strCache>
            </c:strRef>
          </c:cat>
          <c:val>
            <c:numRef>
              <c:f>Analysis!$C$34:$C$44</c:f>
              <c:numCache>
                <c:formatCode>General</c:formatCode>
                <c:ptCount val="10"/>
                <c:pt idx="0">
                  <c:v>49</c:v>
                </c:pt>
                <c:pt idx="1">
                  <c:v>45</c:v>
                </c:pt>
                <c:pt idx="2">
                  <c:v>62</c:v>
                </c:pt>
                <c:pt idx="3">
                  <c:v>51</c:v>
                </c:pt>
                <c:pt idx="4">
                  <c:v>48</c:v>
                </c:pt>
                <c:pt idx="5">
                  <c:v>51</c:v>
                </c:pt>
                <c:pt idx="6">
                  <c:v>45</c:v>
                </c:pt>
                <c:pt idx="7">
                  <c:v>41</c:v>
                </c:pt>
                <c:pt idx="8">
                  <c:v>53</c:v>
                </c:pt>
                <c:pt idx="9">
                  <c:v>44</c:v>
                </c:pt>
              </c:numCache>
            </c:numRef>
          </c:val>
          <c:smooth val="0"/>
          <c:extLst>
            <c:ext xmlns:c16="http://schemas.microsoft.com/office/drawing/2014/chart" uri="{C3380CC4-5D6E-409C-BE32-E72D297353CC}">
              <c16:uniqueId val="{00000005-1D84-4F96-A407-35E5EEDEF59A}"/>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88250255"/>
        <c:axId val="459362719"/>
      </c:lineChart>
      <c:catAx>
        <c:axId val="208825025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9362719"/>
        <c:crosses val="autoZero"/>
        <c:auto val="1"/>
        <c:lblAlgn val="ctr"/>
        <c:lblOffset val="100"/>
        <c:noMultiLvlLbl val="0"/>
      </c:catAx>
      <c:valAx>
        <c:axId val="459362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88250255"/>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228599</xdr:colOff>
      <xdr:row>0</xdr:row>
      <xdr:rowOff>57150</xdr:rowOff>
    </xdr:from>
    <xdr:to>
      <xdr:col>8</xdr:col>
      <xdr:colOff>809624</xdr:colOff>
      <xdr:row>14</xdr:row>
      <xdr:rowOff>133350</xdr:rowOff>
    </xdr:to>
    <xdr:graphicFrame macro="">
      <xdr:nvGraphicFramePr>
        <xdr:cNvPr id="3" name="Chart 2">
          <a:extLst>
            <a:ext uri="{FF2B5EF4-FFF2-40B4-BE49-F238E27FC236}">
              <a16:creationId xmlns:a16="http://schemas.microsoft.com/office/drawing/2014/main" id="{994414FD-16C0-4C07-9941-C5B4EF2F5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295275</xdr:colOff>
      <xdr:row>15</xdr:row>
      <xdr:rowOff>142875</xdr:rowOff>
    </xdr:from>
    <xdr:to>
      <xdr:col>6</xdr:col>
      <xdr:colOff>1752600</xdr:colOff>
      <xdr:row>28</xdr:row>
      <xdr:rowOff>133350</xdr:rowOff>
    </xdr:to>
    <xdr:graphicFrame macro="">
      <xdr:nvGraphicFramePr>
        <xdr:cNvPr id="4" name="Chart 3">
          <a:extLst>
            <a:ext uri="{FF2B5EF4-FFF2-40B4-BE49-F238E27FC236}">
              <a16:creationId xmlns:a16="http://schemas.microsoft.com/office/drawing/2014/main" id="{0DA1CD74-DA1C-4443-B7F5-63105B035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238125</xdr:colOff>
      <xdr:row>0</xdr:row>
      <xdr:rowOff>38101</xdr:rowOff>
    </xdr:from>
    <xdr:to>
      <xdr:col>13</xdr:col>
      <xdr:colOff>333375</xdr:colOff>
      <xdr:row>12</xdr:row>
      <xdr:rowOff>57150</xdr:rowOff>
    </xdr:to>
    <xdr:graphicFrame macro="">
      <xdr:nvGraphicFramePr>
        <xdr:cNvPr id="5" name="Chart 4">
          <a:extLst>
            <a:ext uri="{FF2B5EF4-FFF2-40B4-BE49-F238E27FC236}">
              <a16:creationId xmlns:a16="http://schemas.microsoft.com/office/drawing/2014/main" id="{3CC1F0AF-4DCE-4B0F-91E5-B51FD2A5A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238124</xdr:colOff>
      <xdr:row>29</xdr:row>
      <xdr:rowOff>180975</xdr:rowOff>
    </xdr:from>
    <xdr:to>
      <xdr:col>10</xdr:col>
      <xdr:colOff>1314450</xdr:colOff>
      <xdr:row>44</xdr:row>
      <xdr:rowOff>66675</xdr:rowOff>
    </xdr:to>
    <xdr:graphicFrame macro="">
      <xdr:nvGraphicFramePr>
        <xdr:cNvPr id="8" name="Chart 7">
          <a:extLst>
            <a:ext uri="{FF2B5EF4-FFF2-40B4-BE49-F238E27FC236}">
              <a16:creationId xmlns:a16="http://schemas.microsoft.com/office/drawing/2014/main" id="{1477FB1E-2F27-406B-9CDF-168E49DC7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333375</xdr:colOff>
      <xdr:row>46</xdr:row>
      <xdr:rowOff>142875</xdr:rowOff>
    </xdr:from>
    <xdr:to>
      <xdr:col>12</xdr:col>
      <xdr:colOff>447675</xdr:colOff>
      <xdr:row>61</xdr:row>
      <xdr:rowOff>28575</xdr:rowOff>
    </xdr:to>
    <xdr:graphicFrame macro="">
      <xdr:nvGraphicFramePr>
        <xdr:cNvPr id="2" name="Chart 1">
          <a:extLst>
            <a:ext uri="{FF2B5EF4-FFF2-40B4-BE49-F238E27FC236}">
              <a16:creationId xmlns:a16="http://schemas.microsoft.com/office/drawing/2014/main" id="{31E8BC9A-C9FE-4A65-A741-7D72D24BD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504825</xdr:colOff>
      <xdr:row>62</xdr:row>
      <xdr:rowOff>123825</xdr:rowOff>
    </xdr:from>
    <xdr:to>
      <xdr:col>5</xdr:col>
      <xdr:colOff>657225</xdr:colOff>
      <xdr:row>77</xdr:row>
      <xdr:rowOff>9525</xdr:rowOff>
    </xdr:to>
    <xdr:graphicFrame macro="">
      <xdr:nvGraphicFramePr>
        <xdr:cNvPr id="10" name="Chart 9">
          <a:extLst>
            <a:ext uri="{FF2B5EF4-FFF2-40B4-BE49-F238E27FC236}">
              <a16:creationId xmlns:a16="http://schemas.microsoft.com/office/drawing/2014/main" id="{EDE3569A-9ECE-4CA2-BFCC-478279D57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914400</xdr:colOff>
      <xdr:row>62</xdr:row>
      <xdr:rowOff>95250</xdr:rowOff>
    </xdr:from>
    <xdr:to>
      <xdr:col>9</xdr:col>
      <xdr:colOff>1181100</xdr:colOff>
      <xdr:row>76</xdr:row>
      <xdr:rowOff>171450</xdr:rowOff>
    </xdr:to>
    <xdr:graphicFrame macro="">
      <xdr:nvGraphicFramePr>
        <xdr:cNvPr id="12" name="Chart 11">
          <a:extLst>
            <a:ext uri="{FF2B5EF4-FFF2-40B4-BE49-F238E27FC236}">
              <a16:creationId xmlns:a16="http://schemas.microsoft.com/office/drawing/2014/main" id="{F81D357C-F41A-462F-9217-E61895FB7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1504950</xdr:colOff>
      <xdr:row>63</xdr:row>
      <xdr:rowOff>9525</xdr:rowOff>
    </xdr:from>
    <xdr:to>
      <xdr:col>12</xdr:col>
      <xdr:colOff>1181100</xdr:colOff>
      <xdr:row>77</xdr:row>
      <xdr:rowOff>85725</xdr:rowOff>
    </xdr:to>
    <xdr:graphicFrame macro="">
      <xdr:nvGraphicFramePr>
        <xdr:cNvPr id="13" name="Chart 12">
          <a:extLst>
            <a:ext uri="{FF2B5EF4-FFF2-40B4-BE49-F238E27FC236}">
              <a16:creationId xmlns:a16="http://schemas.microsoft.com/office/drawing/2014/main" id="{5BC7ADA1-EC0D-4429-B62E-2487FAD95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180975</xdr:colOff>
      <xdr:row>13</xdr:row>
      <xdr:rowOff>104775</xdr:rowOff>
    </xdr:from>
    <xdr:to>
      <xdr:col>14</xdr:col>
      <xdr:colOff>66675</xdr:colOff>
      <xdr:row>27</xdr:row>
      <xdr:rowOff>180975</xdr:rowOff>
    </xdr:to>
    <xdr:graphicFrame macro="">
      <xdr:nvGraphicFramePr>
        <xdr:cNvPr id="17" name="Chart 16">
          <a:extLst>
            <a:ext uri="{FF2B5EF4-FFF2-40B4-BE49-F238E27FC236}">
              <a16:creationId xmlns:a16="http://schemas.microsoft.com/office/drawing/2014/main" id="{5AA1390D-4DA8-4F10-9B2B-CD92ADCA9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198438</xdr:colOff>
      <xdr:row>2</xdr:row>
      <xdr:rowOff>182564</xdr:rowOff>
    </xdr:from>
    <xdr:to>
      <xdr:col>3</xdr:col>
      <xdr:colOff>193675</xdr:colOff>
      <xdr:row>10</xdr:row>
      <xdr:rowOff>95250</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5427ADBF-5D04-4119-8D27-2F2CEA00F715}"/>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98438" y="563564"/>
              <a:ext cx="1828800" cy="1436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329974</xdr:colOff>
      <xdr:row>18</xdr:row>
      <xdr:rowOff>13607</xdr:rowOff>
    </xdr:from>
    <xdr:to>
      <xdr:col>9</xdr:col>
      <xdr:colOff>210911</xdr:colOff>
      <xdr:row>32</xdr:row>
      <xdr:rowOff>89807</xdr:rowOff>
    </xdr:to>
    <xdr:graphicFrame macro="">
      <xdr:nvGraphicFramePr>
        <xdr:cNvPr id="6" name="Chart 5">
          <a:extLst>
            <a:ext uri="{FF2B5EF4-FFF2-40B4-BE49-F238E27FC236}">
              <a16:creationId xmlns:a16="http://schemas.microsoft.com/office/drawing/2014/main" id="{932CB1C2-7A0C-4D1A-B0C5-428877A6A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138340</xdr:colOff>
      <xdr:row>18</xdr:row>
      <xdr:rowOff>68036</xdr:rowOff>
    </xdr:from>
    <xdr:to>
      <xdr:col>16</xdr:col>
      <xdr:colOff>206148</xdr:colOff>
      <xdr:row>31</xdr:row>
      <xdr:rowOff>58511</xdr:rowOff>
    </xdr:to>
    <xdr:graphicFrame macro="">
      <xdr:nvGraphicFramePr>
        <xdr:cNvPr id="7" name="Chart 6">
          <a:extLst>
            <a:ext uri="{FF2B5EF4-FFF2-40B4-BE49-F238E27FC236}">
              <a16:creationId xmlns:a16="http://schemas.microsoft.com/office/drawing/2014/main" id="{E0AF1EE4-C255-481F-8E75-C1EBF4BEF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336776</xdr:colOff>
      <xdr:row>34</xdr:row>
      <xdr:rowOff>150813</xdr:rowOff>
    </xdr:from>
    <xdr:to>
      <xdr:col>8</xdr:col>
      <xdr:colOff>18142</xdr:colOff>
      <xdr:row>49</xdr:row>
      <xdr:rowOff>36513</xdr:rowOff>
    </xdr:to>
    <xdr:graphicFrame macro="">
      <xdr:nvGraphicFramePr>
        <xdr:cNvPr id="8" name="Chart 7">
          <a:extLst>
            <a:ext uri="{FF2B5EF4-FFF2-40B4-BE49-F238E27FC236}">
              <a16:creationId xmlns:a16="http://schemas.microsoft.com/office/drawing/2014/main" id="{D2352BAE-7113-42F5-8E31-F25BD9E24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517071</xdr:colOff>
      <xdr:row>34</xdr:row>
      <xdr:rowOff>108858</xdr:rowOff>
    </xdr:from>
    <xdr:to>
      <xdr:col>16</xdr:col>
      <xdr:colOff>198437</xdr:colOff>
      <xdr:row>48</xdr:row>
      <xdr:rowOff>185058</xdr:rowOff>
    </xdr:to>
    <xdr:graphicFrame macro="">
      <xdr:nvGraphicFramePr>
        <xdr:cNvPr id="9" name="Chart 8">
          <a:extLst>
            <a:ext uri="{FF2B5EF4-FFF2-40B4-BE49-F238E27FC236}">
              <a16:creationId xmlns:a16="http://schemas.microsoft.com/office/drawing/2014/main" id="{645C4D45-20EC-45D3-BF66-FEBA4AC85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340178</xdr:colOff>
      <xdr:row>51</xdr:row>
      <xdr:rowOff>159884</xdr:rowOff>
    </xdr:from>
    <xdr:to>
      <xdr:col>8</xdr:col>
      <xdr:colOff>21545</xdr:colOff>
      <xdr:row>66</xdr:row>
      <xdr:rowOff>45584</xdr:rowOff>
    </xdr:to>
    <xdr:graphicFrame macro="">
      <xdr:nvGraphicFramePr>
        <xdr:cNvPr id="10" name="Chart 9">
          <a:extLst>
            <a:ext uri="{FF2B5EF4-FFF2-40B4-BE49-F238E27FC236}">
              <a16:creationId xmlns:a16="http://schemas.microsoft.com/office/drawing/2014/main" id="{84364801-C6EE-4387-BBF3-5BC294341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419100</xdr:colOff>
      <xdr:row>51</xdr:row>
      <xdr:rowOff>104775</xdr:rowOff>
    </xdr:from>
    <xdr:to>
      <xdr:col>16</xdr:col>
      <xdr:colOff>118241</xdr:colOff>
      <xdr:row>65</xdr:row>
      <xdr:rowOff>180975</xdr:rowOff>
    </xdr:to>
    <xdr:graphicFrame macro="">
      <xdr:nvGraphicFramePr>
        <xdr:cNvPr id="12" name="Chart 11">
          <a:extLst>
            <a:ext uri="{FF2B5EF4-FFF2-40B4-BE49-F238E27FC236}">
              <a16:creationId xmlns:a16="http://schemas.microsoft.com/office/drawing/2014/main" id="{8382FA30-5CE8-44A0-B1BE-657825D30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571500</xdr:colOff>
      <xdr:row>2</xdr:row>
      <xdr:rowOff>156884</xdr:rowOff>
    </xdr:from>
    <xdr:to>
      <xdr:col>6</xdr:col>
      <xdr:colOff>584947</xdr:colOff>
      <xdr:row>10</xdr:row>
      <xdr:rowOff>112060</xdr:rowOff>
    </xdr:to>
    <mc:AlternateContent xmlns:mc="http://schemas.openxmlformats.org/markup-compatibility/2006" xmlns:a14="http://schemas.microsoft.com/office/drawing/2010/main">
      <mc:Choice Requires="a14">
        <xdr:graphicFrame macro="">
          <xdr:nvGraphicFramePr>
            <xdr:cNvPr id="13" name="Condition 1">
              <a:extLst>
                <a:ext uri="{FF2B5EF4-FFF2-40B4-BE49-F238E27FC236}">
                  <a16:creationId xmlns:a16="http://schemas.microsoft.com/office/drawing/2014/main" id="{4DAE8B81-8F7F-43CB-B3C6-19E4F807A445}"/>
                </a:ext>
              </a:extLst>
            </xdr:cNvPr>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mlns="">
        <xdr:sp macro="" textlink="">
          <xdr:nvSpPr>
            <xdr:cNvPr id="0" name=""/>
            <xdr:cNvSpPr>
              <a:spLocks noTextEdit="1"/>
            </xdr:cNvSpPr>
          </xdr:nvSpPr>
          <xdr:spPr>
            <a:xfrm>
              <a:off x="2405063" y="537884"/>
              <a:ext cx="1847009" cy="1479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224117</xdr:colOff>
      <xdr:row>2</xdr:row>
      <xdr:rowOff>156882</xdr:rowOff>
    </xdr:from>
    <xdr:to>
      <xdr:col>10</xdr:col>
      <xdr:colOff>237565</xdr:colOff>
      <xdr:row>8</xdr:row>
      <xdr:rowOff>123265</xdr:rowOff>
    </xdr:to>
    <mc:AlternateContent xmlns:mc="http://schemas.openxmlformats.org/markup-compatibility/2006" xmlns:a14="http://schemas.microsoft.com/office/drawing/2010/main">
      <mc:Choice Requires="a14">
        <xdr:graphicFrame macro="">
          <xdr:nvGraphicFramePr>
            <xdr:cNvPr id="14" name="Seller_Type 1">
              <a:extLst>
                <a:ext uri="{FF2B5EF4-FFF2-40B4-BE49-F238E27FC236}">
                  <a16:creationId xmlns:a16="http://schemas.microsoft.com/office/drawing/2014/main" id="{D9F568E3-55BF-4DB6-9D17-6781D492B77C}"/>
                </a:ext>
              </a:extLst>
            </xdr:cNvPr>
            <xdr:cNvGraphicFramePr/>
          </xdr:nvGraphicFramePr>
          <xdr:xfrm>
            <a:off x="0" y="0"/>
            <a:ext cx="0" cy="0"/>
          </xdr:xfrm>
          <a:graphic>
            <a:graphicData uri="http://schemas.microsoft.com/office/drawing/2010/slicer">
              <sle:slicer xmlns:sle="http://schemas.microsoft.com/office/drawing/2010/slicer" name="Seller_Type 1"/>
            </a:graphicData>
          </a:graphic>
        </xdr:graphicFrame>
      </mc:Choice>
      <mc:Fallback xmlns="">
        <xdr:sp macro="" textlink="">
          <xdr:nvSpPr>
            <xdr:cNvPr id="0" name=""/>
            <xdr:cNvSpPr>
              <a:spLocks noTextEdit="1"/>
            </xdr:cNvSpPr>
          </xdr:nvSpPr>
          <xdr:spPr>
            <a:xfrm>
              <a:off x="4502430" y="537882"/>
              <a:ext cx="1847010" cy="1109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459442</xdr:colOff>
      <xdr:row>2</xdr:row>
      <xdr:rowOff>134472</xdr:rowOff>
    </xdr:from>
    <xdr:to>
      <xdr:col>13</xdr:col>
      <xdr:colOff>472889</xdr:colOff>
      <xdr:row>8</xdr:row>
      <xdr:rowOff>123266</xdr:rowOff>
    </xdr:to>
    <mc:AlternateContent xmlns:mc="http://schemas.openxmlformats.org/markup-compatibility/2006" xmlns:a14="http://schemas.microsoft.com/office/drawing/2010/main">
      <mc:Choice Requires="a14">
        <xdr:graphicFrame macro="">
          <xdr:nvGraphicFramePr>
            <xdr:cNvPr id="15" name="Warranty 1">
              <a:extLst>
                <a:ext uri="{FF2B5EF4-FFF2-40B4-BE49-F238E27FC236}">
                  <a16:creationId xmlns:a16="http://schemas.microsoft.com/office/drawing/2014/main" id="{46812249-B705-46C0-A5CB-340F05D9170E}"/>
                </a:ext>
              </a:extLst>
            </xdr:cNvPr>
            <xdr:cNvGraphicFramePr/>
          </xdr:nvGraphicFramePr>
          <xdr:xfrm>
            <a:off x="0" y="0"/>
            <a:ext cx="0" cy="0"/>
          </xdr:xfrm>
          <a:graphic>
            <a:graphicData uri="http://schemas.microsoft.com/office/drawing/2010/slicer">
              <sle:slicer xmlns:sle="http://schemas.microsoft.com/office/drawing/2010/slicer" name="Warranty 1"/>
            </a:graphicData>
          </a:graphic>
        </xdr:graphicFrame>
      </mc:Choice>
      <mc:Fallback xmlns="">
        <xdr:sp macro="" textlink="">
          <xdr:nvSpPr>
            <xdr:cNvPr id="0" name=""/>
            <xdr:cNvSpPr>
              <a:spLocks noTextEdit="1"/>
            </xdr:cNvSpPr>
          </xdr:nvSpPr>
          <xdr:spPr>
            <a:xfrm>
              <a:off x="6571317" y="515472"/>
              <a:ext cx="1847010" cy="1131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561975</xdr:colOff>
      <xdr:row>68</xdr:row>
      <xdr:rowOff>28575</xdr:rowOff>
    </xdr:from>
    <xdr:to>
      <xdr:col>14</xdr:col>
      <xdr:colOff>582707</xdr:colOff>
      <xdr:row>82</xdr:row>
      <xdr:rowOff>9525</xdr:rowOff>
    </xdr:to>
    <xdr:graphicFrame macro="">
      <xdr:nvGraphicFramePr>
        <xdr:cNvPr id="16" name="Chart 15">
          <a:extLst>
            <a:ext uri="{FF2B5EF4-FFF2-40B4-BE49-F238E27FC236}">
              <a16:creationId xmlns:a16="http://schemas.microsoft.com/office/drawing/2014/main" id="{3BA60F93-1D2C-425E-827D-716A10FD9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l" refreshedDate="46231.554965740739" createdVersion="6" refreshedVersion="6" minRefreshableVersion="3" recordCount="1000" xr:uid="{FC17C965-5E4F-453C-B200-FD425B88ED03}">
  <cacheSource type="worksheet">
    <worksheetSource name="Table2"/>
  </cacheSource>
  <cacheFields count="18">
    <cacheField name="Phone_ID" numFmtId="0">
      <sharedItems/>
    </cacheField>
    <cacheField name="Brand" numFmtId="0">
      <sharedItems count="10">
        <s v="Realme"/>
        <s v="Google"/>
        <s v="Motorola"/>
        <s v="OnePlus"/>
        <s v="vivo"/>
        <s v="OPPO"/>
        <s v="Xiaomi"/>
        <s v="Apple"/>
        <s v="Huawei"/>
        <s v="Samsung"/>
      </sharedItems>
    </cacheField>
    <cacheField name="Model" numFmtId="0">
      <sharedItems count="14">
        <s v="GT Neo 3"/>
        <s v="Pixel 7"/>
        <s v="Edge 40"/>
        <s v="11"/>
        <s v="V27"/>
        <s v="Reno 8"/>
        <s v="Poco X5 Pro"/>
        <s v="iPhone 13"/>
        <s v="P50"/>
        <s v="Redmi Note 11"/>
        <s v="Galaxy A54"/>
        <s v="iPhone 14"/>
        <s v="Galaxy S22"/>
        <s v="iPhone 12"/>
      </sharedItems>
    </cacheField>
    <cacheField name="Release_Year" numFmtId="0">
      <sharedItems containsSemiMixedTypes="0" containsString="0" containsNumber="1" containsInteger="1" minValue="2020" maxValue="2024" count="5">
        <n v="2020"/>
        <n v="2023"/>
        <n v="2021"/>
        <n v="2022"/>
        <n v="2024"/>
      </sharedItems>
    </cacheField>
    <cacheField name="Age_Years" numFmtId="0">
      <sharedItems containsSemiMixedTypes="0" containsString="0" containsNumber="1" containsInteger="1" minValue="2" maxValue="6" count="5">
        <n v="6"/>
        <n v="3"/>
        <n v="5"/>
        <n v="4"/>
        <n v="2"/>
      </sharedItems>
    </cacheField>
    <cacheField name="RAM_GB" numFmtId="0">
      <sharedItems containsSemiMixedTypes="0" containsString="0" containsNumber="1" containsInteger="1" minValue="4" maxValue="12" count="4">
        <n v="12"/>
        <n v="4"/>
        <n v="6"/>
        <n v="8"/>
      </sharedItems>
    </cacheField>
    <cacheField name="Storage_GB" numFmtId="0">
      <sharedItems containsSemiMixedTypes="0" containsString="0" containsNumber="1" containsInteger="1" minValue="56" maxValue="512" count="5">
        <n v="128"/>
        <n v="512"/>
        <n v="64"/>
        <n v="256"/>
        <n v="56"/>
      </sharedItems>
    </cacheField>
    <cacheField name="Battery_Health_Percent" numFmtId="0">
      <sharedItems containsSemiMixedTypes="0" containsString="0" containsNumber="1" containsInteger="1" minValue="75" maxValue="100" count="26">
        <n v="100"/>
        <n v="91"/>
        <n v="96"/>
        <n v="80"/>
        <n v="90"/>
        <n v="84"/>
        <n v="76"/>
        <n v="75"/>
        <n v="86"/>
        <n v="93"/>
        <n v="87"/>
        <n v="97"/>
        <n v="92"/>
        <n v="77"/>
        <n v="83"/>
        <n v="98"/>
        <n v="95"/>
        <n v="79"/>
        <n v="89"/>
        <n v="78"/>
        <n v="94"/>
        <n v="82"/>
        <n v="85"/>
        <n v="88"/>
        <n v="99"/>
        <n v="81"/>
      </sharedItems>
    </cacheField>
    <cacheField name="Camera_MP" numFmtId="0">
      <sharedItems containsSemiMixedTypes="0" containsString="0" containsNumber="1" containsInteger="1" minValue="12" maxValue="108"/>
    </cacheField>
    <cacheField name="Screen_Size_Inch" numFmtId="0">
      <sharedItems containsSemiMixedTypes="0" containsString="0" containsNumber="1" minValue="6.1" maxValue="6.78"/>
    </cacheField>
    <cacheField name="Processor" numFmtId="0">
      <sharedItems/>
    </cacheField>
    <cacheField name="Condition" numFmtId="0">
      <sharedItems count="4">
        <s v="Good"/>
        <s v="Like New"/>
        <s v="Fair"/>
        <s v="Excellent"/>
      </sharedItems>
    </cacheField>
    <cacheField name="Color" numFmtId="0">
      <sharedItems/>
    </cacheField>
    <cacheField name="Seller_Type" numFmtId="0">
      <sharedItems count="2">
        <s v="Store"/>
        <s v="Individual"/>
      </sharedItems>
    </cacheField>
    <cacheField name="City" numFmtId="0">
      <sharedItems count="8">
        <s v="Jakarta"/>
        <s v="Surabaya"/>
        <s v="Medan"/>
        <s v="Semarang"/>
        <s v="Yogyakarta"/>
        <s v="Bandung"/>
        <s v="Makassar"/>
        <s v="Bekasi"/>
      </sharedItems>
    </cacheField>
    <cacheField name="Warranty" numFmtId="0">
      <sharedItems count="2">
        <s v="No"/>
        <s v="Yes"/>
      </sharedItems>
    </cacheField>
    <cacheField name="Original_Price_USD" numFmtId="0">
      <sharedItems containsSemiMixedTypes="0" containsString="0" containsNumber="1" containsInteger="1" minValue="299" maxValue="999"/>
    </cacheField>
    <cacheField name="Selling_Price_USD" numFmtId="0">
      <sharedItems containsSemiMixedTypes="0" containsString="0" containsNumber="1" containsInteger="1" minValue="168" maxValue="967" count="414">
        <n v="428"/>
        <n v="589"/>
        <n v="408"/>
        <n v="449"/>
        <n v="745"/>
        <n v="603"/>
        <n v="604"/>
        <n v="267"/>
        <n v="557"/>
        <n v="539"/>
        <n v="466"/>
        <n v="368"/>
        <n v="567"/>
        <n v="644"/>
        <n v="470"/>
        <n v="257"/>
        <n v="489"/>
        <n v="439"/>
        <n v="764"/>
        <n v="415"/>
        <n v="789"/>
        <n v="639"/>
        <n v="289"/>
        <n v="487"/>
        <n v="427"/>
        <n v="560"/>
        <n v="663"/>
        <n v="749"/>
        <n v="493"/>
        <n v="338"/>
        <n v="440"/>
        <n v="824"/>
        <n v="468"/>
        <n v="352"/>
        <n v="561"/>
        <n v="323"/>
        <n v="822"/>
        <n v="451"/>
        <n v="382"/>
        <n v="282"/>
        <n v="629"/>
        <n v="454"/>
        <n v="389"/>
        <n v="433"/>
        <n v="447"/>
        <n v="252"/>
        <n v="576"/>
        <n v="521"/>
        <n v="492"/>
        <n v="750"/>
        <n v="497"/>
        <n v="529"/>
        <n v="909"/>
        <n v="462"/>
        <n v="305"/>
        <n v="575"/>
        <n v="262"/>
        <n v="431"/>
        <n v="620"/>
        <n v="533"/>
        <n v="547"/>
        <n v="476"/>
        <n v="640"/>
        <n v="559"/>
        <n v="591"/>
        <n v="452"/>
        <n v="336"/>
        <n v="490"/>
        <n v="377"/>
        <n v="885"/>
        <n v="425"/>
        <n v="457"/>
        <n v="513"/>
        <n v="495"/>
        <n v="724"/>
        <n v="316"/>
        <n v="467"/>
        <n v="582"/>
        <n v="272"/>
        <n v="488"/>
        <n v="689"/>
        <n v="371"/>
        <n v="366"/>
        <n v="448"/>
        <n v="485"/>
        <n v="339"/>
        <n v="430"/>
        <n v="660"/>
        <n v="388"/>
        <n v="577"/>
        <n v="345"/>
        <n v="500"/>
        <n v="437"/>
        <n v="395"/>
        <n v="484"/>
        <n v="443"/>
        <n v="732"/>
        <n v="460"/>
        <n v="456"/>
        <n v="337"/>
        <n v="312"/>
        <n v="424"/>
        <n v="757"/>
        <n v="463"/>
        <n v="412"/>
        <n v="486"/>
        <n v="568"/>
        <n v="296"/>
        <n v="379"/>
        <n v="464"/>
        <n v="606"/>
        <n v="538"/>
        <n v="656"/>
        <n v="362"/>
        <n v="313"/>
        <n v="664"/>
        <n v="515"/>
        <n v="730"/>
        <n v="446"/>
        <n v="310"/>
        <n v="655"/>
        <n v="693"/>
        <n v="617"/>
        <n v="506"/>
        <n v="549"/>
        <n v="759"/>
        <n v="530"/>
        <n v="342"/>
        <n v="400"/>
        <n v="251"/>
        <n v="330"/>
        <n v="951"/>
        <n v="507"/>
        <n v="728"/>
        <n v="450"/>
        <n v="542"/>
        <n v="483"/>
        <n v="453"/>
        <n v="525"/>
        <n v="903"/>
        <n v="830"/>
        <n v="364"/>
        <n v="481"/>
        <n v="475"/>
        <n v="565"/>
        <n v="889"/>
        <n v="260"/>
        <n v="543"/>
        <n v="635"/>
        <n v="398"/>
        <n v="474"/>
        <n v="502"/>
        <n v="346"/>
        <n v="752"/>
        <n v="349"/>
        <n v="401"/>
        <n v="628"/>
        <n v="416"/>
        <n v="482"/>
        <n v="522"/>
        <n v="304"/>
        <n v="573"/>
        <n v="670"/>
        <n v="477"/>
        <n v="775"/>
        <n v="290"/>
        <n v="461"/>
        <n v="465"/>
        <n v="727"/>
        <n v="540"/>
        <n v="413"/>
        <n v="383"/>
        <n v="654"/>
        <n v="583"/>
        <n v="429"/>
        <n v="698"/>
        <n v="504"/>
        <n v="586"/>
        <n v="526"/>
        <n v="438"/>
        <n v="657"/>
        <n v="520"/>
        <n v="309"/>
        <n v="536"/>
        <n v="512"/>
        <n v="417"/>
        <n v="581"/>
        <n v="414"/>
        <n v="394"/>
        <n v="726"/>
        <n v="649"/>
        <n v="397"/>
        <n v="255"/>
        <n v="696"/>
        <n v="238"/>
        <n v="361"/>
        <n v="527"/>
        <n v="302"/>
        <n v="697"/>
        <n v="687"/>
        <n v="829"/>
        <n v="552"/>
        <n v="514"/>
        <n v="405"/>
        <n v="524"/>
        <n v="590"/>
        <n v="545"/>
        <n v="348"/>
        <n v="297"/>
        <n v="404"/>
        <n v="409"/>
        <n v="720"/>
        <n v="868"/>
        <n v="357"/>
        <n v="916"/>
        <n v="665"/>
        <n v="531"/>
        <n v="263"/>
        <n v="788"/>
        <n v="327"/>
        <n v="455"/>
        <n v="391"/>
        <n v="292"/>
        <n v="701"/>
        <n v="751"/>
        <n v="479"/>
        <n v="537"/>
        <n v="558"/>
        <n v="385"/>
        <n v="518"/>
        <n v="624"/>
        <n v="563"/>
        <n v="501"/>
        <n v="642"/>
        <n v="574"/>
        <n v="546"/>
        <n v="747"/>
        <n v="410"/>
        <n v="491"/>
        <n v="403"/>
        <n v="645"/>
        <n v="619"/>
        <n v="641"/>
        <n v="550"/>
        <n v="794"/>
        <n v="264"/>
        <n v="469"/>
        <n v="786"/>
        <n v="274"/>
        <n v="855"/>
        <n v="285"/>
        <n v="637"/>
        <n v="363"/>
        <n v="623"/>
        <n v="677"/>
        <n v="648"/>
        <n v="480"/>
        <n v="494"/>
        <n v="300"/>
        <n v="441"/>
        <n v="386"/>
        <n v="372"/>
        <n v="329"/>
        <n v="597"/>
        <n v="684"/>
        <n v="434"/>
        <n v="519"/>
        <n v="511"/>
        <n v="668"/>
        <n v="432"/>
        <n v="562"/>
        <n v="426"/>
        <n v="473"/>
        <n v="600"/>
        <n v="669"/>
        <n v="569"/>
        <n v="618"/>
        <n v="311"/>
        <n v="950"/>
        <n v="823"/>
        <n v="717"/>
        <n v="291"/>
        <n v="320"/>
        <n v="632"/>
        <n v="380"/>
        <n v="407"/>
        <n v="554"/>
        <n v="517"/>
        <n v="675"/>
        <n v="661"/>
        <n v="535"/>
        <n v="571"/>
        <n v="835"/>
        <n v="614"/>
        <n v="692"/>
        <n v="579"/>
        <n v="306"/>
        <n v="459"/>
        <n v="509"/>
        <n v="325"/>
        <n v="708"/>
        <n v="396"/>
        <n v="406"/>
        <n v="831"/>
        <n v="376"/>
        <n v="773"/>
        <n v="442"/>
        <n v="592"/>
        <n v="528"/>
        <n v="241"/>
        <n v="384"/>
        <n v="647"/>
        <n v="621"/>
        <n v="866"/>
        <n v="544"/>
        <n v="556"/>
        <n v="418"/>
        <n v="191"/>
        <n v="598"/>
        <n v="215"/>
        <n v="593"/>
        <n v="224"/>
        <n v="516"/>
        <n v="499"/>
        <n v="580"/>
        <n v="496"/>
        <n v="596"/>
        <n v="334"/>
        <n v="820"/>
        <n v="760"/>
        <n v="650"/>
        <n v="584"/>
        <n v="422"/>
        <n v="359"/>
        <n v="605"/>
        <n v="688"/>
        <n v="631"/>
        <n v="505"/>
        <n v="928"/>
        <n v="328"/>
        <n v="471"/>
        <n v="778"/>
        <n v="168"/>
        <n v="340"/>
        <n v="378"/>
        <n v="508"/>
        <n v="373"/>
        <n v="690"/>
        <n v="594"/>
        <n v="572"/>
        <n v="553"/>
        <n v="498"/>
        <n v="445"/>
        <n v="748"/>
        <n v="607"/>
        <n v="541"/>
        <n v="636"/>
        <n v="347"/>
        <n v="351"/>
        <n v="374"/>
        <n v="725"/>
        <n v="350"/>
        <n v="599"/>
        <n v="293"/>
        <n v="721"/>
        <n v="678"/>
        <n v="676"/>
        <n v="301"/>
        <n v="662"/>
        <n v="715"/>
        <n v="435"/>
        <n v="746"/>
        <n v="766"/>
        <n v="551"/>
        <n v="878"/>
        <n v="646"/>
        <n v="273"/>
        <n v="206"/>
        <n v="564"/>
        <n v="672"/>
        <n v="326"/>
        <n v="294"/>
        <n v="317"/>
        <n v="393"/>
        <n v="367"/>
        <n v="331"/>
        <n v="763"/>
        <n v="658"/>
        <n v="270"/>
        <n v="585"/>
        <n v="322"/>
        <n v="796"/>
        <n v="411"/>
        <n v="335"/>
        <n v="842"/>
        <n v="587"/>
        <n v="651"/>
        <n v="673"/>
        <n v="534"/>
        <n v="271"/>
        <n v="967"/>
        <n v="630"/>
        <n v="704"/>
        <n v="503"/>
        <n v="895"/>
        <n v="744"/>
        <n v="419"/>
        <n v="588"/>
        <n v="254"/>
        <n v="420"/>
        <n v="633"/>
        <n v="703"/>
        <n v="652"/>
        <n v="566"/>
      </sharedItems>
    </cacheField>
  </cacheFields>
  <extLst>
    <ext xmlns:x14="http://schemas.microsoft.com/office/spreadsheetml/2009/9/main" uri="{725AE2AE-9491-48be-B2B4-4EB974FC3084}">
      <x14:pivotCacheDefinition pivotCacheId="1496909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00001"/>
    <x v="0"/>
    <x v="0"/>
    <x v="0"/>
    <x v="0"/>
    <x v="0"/>
    <x v="0"/>
    <x v="0"/>
    <n v="108"/>
    <n v="6.67"/>
    <s v="Dimensity 8100"/>
    <x v="0"/>
    <s v="White"/>
    <x v="0"/>
    <x v="0"/>
    <x v="0"/>
    <n v="599"/>
    <x v="0"/>
  </r>
  <r>
    <s v="P00002"/>
    <x v="1"/>
    <x v="1"/>
    <x v="0"/>
    <x v="0"/>
    <x v="1"/>
    <x v="1"/>
    <x v="1"/>
    <n v="108"/>
    <n v="6.67"/>
    <s v="Tensor G2"/>
    <x v="1"/>
    <s v="Blue"/>
    <x v="1"/>
    <x v="1"/>
    <x v="1"/>
    <n v="599"/>
    <x v="1"/>
  </r>
  <r>
    <s v="P00003"/>
    <x v="2"/>
    <x v="2"/>
    <x v="1"/>
    <x v="1"/>
    <x v="1"/>
    <x v="2"/>
    <x v="0"/>
    <n v="48"/>
    <n v="6.67"/>
    <s v="Dimensity 8020"/>
    <x v="0"/>
    <s v="Silver"/>
    <x v="0"/>
    <x v="2"/>
    <x v="1"/>
    <n v="599"/>
    <x v="2"/>
  </r>
  <r>
    <s v="P00004"/>
    <x v="0"/>
    <x v="0"/>
    <x v="2"/>
    <x v="2"/>
    <x v="0"/>
    <x v="2"/>
    <x v="2"/>
    <n v="48"/>
    <n v="6.1"/>
    <s v="Dimensity 8100"/>
    <x v="0"/>
    <s v="White"/>
    <x v="1"/>
    <x v="0"/>
    <x v="0"/>
    <n v="599"/>
    <x v="3"/>
  </r>
  <r>
    <s v="P00005"/>
    <x v="3"/>
    <x v="3"/>
    <x v="2"/>
    <x v="2"/>
    <x v="0"/>
    <x v="3"/>
    <x v="3"/>
    <n v="64"/>
    <n v="6.78"/>
    <s v="Snapdragon 8 Gen2"/>
    <x v="1"/>
    <s v="Black"/>
    <x v="0"/>
    <x v="3"/>
    <x v="0"/>
    <n v="799"/>
    <x v="4"/>
  </r>
  <r>
    <s v="P00006"/>
    <x v="1"/>
    <x v="1"/>
    <x v="1"/>
    <x v="1"/>
    <x v="2"/>
    <x v="4"/>
    <x v="4"/>
    <n v="12"/>
    <n v="6.78"/>
    <s v="Tensor G2"/>
    <x v="0"/>
    <s v="Black"/>
    <x v="1"/>
    <x v="1"/>
    <x v="0"/>
    <n v="599"/>
    <x v="0"/>
  </r>
  <r>
    <s v="P00007"/>
    <x v="3"/>
    <x v="3"/>
    <x v="1"/>
    <x v="1"/>
    <x v="0"/>
    <x v="1"/>
    <x v="5"/>
    <n v="12"/>
    <n v="6.4"/>
    <s v="Snapdragon 8 Gen2"/>
    <x v="0"/>
    <s v="Black"/>
    <x v="0"/>
    <x v="0"/>
    <x v="0"/>
    <n v="799"/>
    <x v="5"/>
  </r>
  <r>
    <s v="P00008"/>
    <x v="3"/>
    <x v="3"/>
    <x v="2"/>
    <x v="2"/>
    <x v="0"/>
    <x v="1"/>
    <x v="6"/>
    <n v="108"/>
    <n v="6.4"/>
    <s v="Snapdragon 8 Gen2"/>
    <x v="0"/>
    <s v="Silver"/>
    <x v="1"/>
    <x v="4"/>
    <x v="1"/>
    <n v="799"/>
    <x v="6"/>
  </r>
  <r>
    <s v="P00009"/>
    <x v="4"/>
    <x v="4"/>
    <x v="0"/>
    <x v="0"/>
    <x v="1"/>
    <x v="0"/>
    <x v="7"/>
    <n v="64"/>
    <n v="6.2"/>
    <s v="Dimensity 7200"/>
    <x v="2"/>
    <s v="Blue"/>
    <x v="0"/>
    <x v="4"/>
    <x v="0"/>
    <n v="549"/>
    <x v="7"/>
  </r>
  <r>
    <s v="P00010"/>
    <x v="2"/>
    <x v="2"/>
    <x v="3"/>
    <x v="3"/>
    <x v="3"/>
    <x v="3"/>
    <x v="8"/>
    <n v="108"/>
    <n v="6.78"/>
    <s v="Dimensity 8020"/>
    <x v="3"/>
    <s v="Green"/>
    <x v="0"/>
    <x v="5"/>
    <x v="1"/>
    <n v="599"/>
    <x v="8"/>
  </r>
  <r>
    <s v="P00011"/>
    <x v="4"/>
    <x v="4"/>
    <x v="0"/>
    <x v="0"/>
    <x v="1"/>
    <x v="3"/>
    <x v="9"/>
    <n v="50"/>
    <n v="6.7"/>
    <s v="Dimensity 7200"/>
    <x v="1"/>
    <s v="Green"/>
    <x v="1"/>
    <x v="3"/>
    <x v="0"/>
    <n v="549"/>
    <x v="9"/>
  </r>
  <r>
    <s v="P00012"/>
    <x v="5"/>
    <x v="5"/>
    <x v="3"/>
    <x v="3"/>
    <x v="2"/>
    <x v="3"/>
    <x v="10"/>
    <n v="48"/>
    <n v="6.5"/>
    <s v="Dimensity 1300"/>
    <x v="3"/>
    <s v="White"/>
    <x v="1"/>
    <x v="3"/>
    <x v="1"/>
    <n v="499"/>
    <x v="10"/>
  </r>
  <r>
    <s v="P00013"/>
    <x v="6"/>
    <x v="6"/>
    <x v="4"/>
    <x v="4"/>
    <x v="3"/>
    <x v="2"/>
    <x v="11"/>
    <n v="108"/>
    <n v="6.1"/>
    <s v="Snapdragon 778G"/>
    <x v="1"/>
    <s v="Green"/>
    <x v="1"/>
    <x v="5"/>
    <x v="0"/>
    <n v="399"/>
    <x v="11"/>
  </r>
  <r>
    <s v="P00014"/>
    <x v="0"/>
    <x v="0"/>
    <x v="4"/>
    <x v="4"/>
    <x v="1"/>
    <x v="1"/>
    <x v="6"/>
    <n v="64"/>
    <n v="6.78"/>
    <s v="Dimensity 8100"/>
    <x v="3"/>
    <s v="Black"/>
    <x v="0"/>
    <x v="1"/>
    <x v="1"/>
    <n v="599"/>
    <x v="12"/>
  </r>
  <r>
    <s v="P00015"/>
    <x v="7"/>
    <x v="7"/>
    <x v="4"/>
    <x v="4"/>
    <x v="3"/>
    <x v="2"/>
    <x v="4"/>
    <n v="108"/>
    <n v="6.78"/>
    <s v="A15"/>
    <x v="3"/>
    <s v="Green"/>
    <x v="0"/>
    <x v="4"/>
    <x v="0"/>
    <n v="799"/>
    <x v="13"/>
  </r>
  <r>
    <s v="P00016"/>
    <x v="8"/>
    <x v="8"/>
    <x v="4"/>
    <x v="4"/>
    <x v="1"/>
    <x v="2"/>
    <x v="9"/>
    <n v="64"/>
    <n v="6.5"/>
    <s v="Kirin 9000"/>
    <x v="0"/>
    <s v="Silver"/>
    <x v="0"/>
    <x v="3"/>
    <x v="1"/>
    <n v="699"/>
    <x v="14"/>
  </r>
  <r>
    <s v="P00017"/>
    <x v="6"/>
    <x v="9"/>
    <x v="1"/>
    <x v="1"/>
    <x v="1"/>
    <x v="3"/>
    <x v="12"/>
    <n v="12"/>
    <n v="6.67"/>
    <s v="Snapdragon 680"/>
    <x v="0"/>
    <s v="Blue"/>
    <x v="1"/>
    <x v="3"/>
    <x v="1"/>
    <n v="299"/>
    <x v="15"/>
  </r>
  <r>
    <s v="P00018"/>
    <x v="4"/>
    <x v="4"/>
    <x v="0"/>
    <x v="0"/>
    <x v="3"/>
    <x v="1"/>
    <x v="13"/>
    <n v="108"/>
    <n v="6.78"/>
    <s v="Dimensity 7200"/>
    <x v="1"/>
    <s v="Blue"/>
    <x v="1"/>
    <x v="6"/>
    <x v="0"/>
    <n v="549"/>
    <x v="9"/>
  </r>
  <r>
    <s v="P00019"/>
    <x v="5"/>
    <x v="5"/>
    <x v="3"/>
    <x v="3"/>
    <x v="3"/>
    <x v="1"/>
    <x v="0"/>
    <n v="64"/>
    <n v="6.2"/>
    <s v="Dimensity 1300"/>
    <x v="1"/>
    <s v="Purple"/>
    <x v="1"/>
    <x v="7"/>
    <x v="0"/>
    <n v="499"/>
    <x v="16"/>
  </r>
  <r>
    <s v="P00020"/>
    <x v="9"/>
    <x v="10"/>
    <x v="0"/>
    <x v="0"/>
    <x v="0"/>
    <x v="0"/>
    <x v="5"/>
    <n v="108"/>
    <n v="6.78"/>
    <s v="Exynos 1380"/>
    <x v="1"/>
    <s v="White"/>
    <x v="1"/>
    <x v="0"/>
    <x v="1"/>
    <n v="449"/>
    <x v="17"/>
  </r>
  <r>
    <s v="P00021"/>
    <x v="3"/>
    <x v="3"/>
    <x v="0"/>
    <x v="0"/>
    <x v="0"/>
    <x v="1"/>
    <x v="2"/>
    <n v="12"/>
    <n v="6.1"/>
    <s v="Snapdragon 8 Gen2"/>
    <x v="3"/>
    <s v="Silver"/>
    <x v="0"/>
    <x v="3"/>
    <x v="0"/>
    <n v="799"/>
    <x v="18"/>
  </r>
  <r>
    <s v="P00022"/>
    <x v="2"/>
    <x v="2"/>
    <x v="1"/>
    <x v="1"/>
    <x v="1"/>
    <x v="0"/>
    <x v="11"/>
    <n v="48"/>
    <n v="6.4"/>
    <s v="Dimensity 8020"/>
    <x v="0"/>
    <s v="Blue"/>
    <x v="0"/>
    <x v="3"/>
    <x v="0"/>
    <n v="599"/>
    <x v="19"/>
  </r>
  <r>
    <s v="P00023"/>
    <x v="3"/>
    <x v="3"/>
    <x v="0"/>
    <x v="0"/>
    <x v="2"/>
    <x v="1"/>
    <x v="8"/>
    <n v="50"/>
    <n v="6.67"/>
    <s v="Snapdragon 8 Gen2"/>
    <x v="1"/>
    <s v="Blue"/>
    <x v="0"/>
    <x v="5"/>
    <x v="1"/>
    <n v="799"/>
    <x v="20"/>
  </r>
  <r>
    <s v="P00024"/>
    <x v="3"/>
    <x v="3"/>
    <x v="1"/>
    <x v="1"/>
    <x v="3"/>
    <x v="0"/>
    <x v="10"/>
    <n v="12"/>
    <n v="6.4"/>
    <s v="Snapdragon 8 Gen2"/>
    <x v="3"/>
    <s v="Purple"/>
    <x v="1"/>
    <x v="2"/>
    <x v="1"/>
    <n v="799"/>
    <x v="21"/>
  </r>
  <r>
    <s v="P00025"/>
    <x v="7"/>
    <x v="7"/>
    <x v="3"/>
    <x v="3"/>
    <x v="0"/>
    <x v="1"/>
    <x v="4"/>
    <n v="12"/>
    <n v="6.4"/>
    <s v="A15"/>
    <x v="1"/>
    <s v="White"/>
    <x v="1"/>
    <x v="1"/>
    <x v="1"/>
    <n v="799"/>
    <x v="20"/>
  </r>
  <r>
    <s v="P00026"/>
    <x v="6"/>
    <x v="9"/>
    <x v="4"/>
    <x v="4"/>
    <x v="2"/>
    <x v="1"/>
    <x v="14"/>
    <n v="48"/>
    <n v="6.7"/>
    <s v="Snapdragon 680"/>
    <x v="0"/>
    <s v="Black"/>
    <x v="1"/>
    <x v="7"/>
    <x v="0"/>
    <n v="299"/>
    <x v="22"/>
  </r>
  <r>
    <s v="P00027"/>
    <x v="6"/>
    <x v="9"/>
    <x v="1"/>
    <x v="1"/>
    <x v="1"/>
    <x v="3"/>
    <x v="15"/>
    <n v="64"/>
    <n v="6.78"/>
    <s v="Snapdragon 680"/>
    <x v="3"/>
    <s v="White"/>
    <x v="1"/>
    <x v="1"/>
    <x v="0"/>
    <n v="299"/>
    <x v="22"/>
  </r>
  <r>
    <s v="P00028"/>
    <x v="4"/>
    <x v="4"/>
    <x v="0"/>
    <x v="0"/>
    <x v="2"/>
    <x v="0"/>
    <x v="2"/>
    <n v="48"/>
    <n v="6.5"/>
    <s v="Dimensity 7200"/>
    <x v="3"/>
    <s v="White"/>
    <x v="1"/>
    <x v="0"/>
    <x v="0"/>
    <n v="549"/>
    <x v="23"/>
  </r>
  <r>
    <s v="P00029"/>
    <x v="1"/>
    <x v="1"/>
    <x v="3"/>
    <x v="3"/>
    <x v="2"/>
    <x v="3"/>
    <x v="4"/>
    <n v="64"/>
    <n v="6.7"/>
    <s v="Tensor G2"/>
    <x v="0"/>
    <s v="White"/>
    <x v="1"/>
    <x v="7"/>
    <x v="0"/>
    <n v="599"/>
    <x v="24"/>
  </r>
  <r>
    <s v="P00030"/>
    <x v="3"/>
    <x v="3"/>
    <x v="2"/>
    <x v="2"/>
    <x v="1"/>
    <x v="0"/>
    <x v="6"/>
    <n v="50"/>
    <n v="6.78"/>
    <s v="Snapdragon 8 Gen2"/>
    <x v="0"/>
    <s v="Purple"/>
    <x v="1"/>
    <x v="4"/>
    <x v="0"/>
    <n v="799"/>
    <x v="25"/>
  </r>
  <r>
    <s v="P00031"/>
    <x v="8"/>
    <x v="8"/>
    <x v="2"/>
    <x v="2"/>
    <x v="3"/>
    <x v="3"/>
    <x v="16"/>
    <n v="12"/>
    <n v="6.78"/>
    <s v="Kirin 9000"/>
    <x v="1"/>
    <s v="Black"/>
    <x v="1"/>
    <x v="3"/>
    <x v="1"/>
    <n v="699"/>
    <x v="26"/>
  </r>
  <r>
    <s v="P00032"/>
    <x v="3"/>
    <x v="3"/>
    <x v="4"/>
    <x v="4"/>
    <x v="2"/>
    <x v="0"/>
    <x v="4"/>
    <n v="108"/>
    <n v="6.7"/>
    <s v="Snapdragon 8 Gen2"/>
    <x v="1"/>
    <s v="White"/>
    <x v="1"/>
    <x v="6"/>
    <x v="1"/>
    <n v="799"/>
    <x v="27"/>
  </r>
  <r>
    <s v="P00033"/>
    <x v="7"/>
    <x v="11"/>
    <x v="0"/>
    <x v="0"/>
    <x v="0"/>
    <x v="0"/>
    <x v="8"/>
    <n v="108"/>
    <n v="6.4"/>
    <s v="A15"/>
    <x v="2"/>
    <s v="Green"/>
    <x v="0"/>
    <x v="2"/>
    <x v="1"/>
    <n v="899"/>
    <x v="28"/>
  </r>
  <r>
    <s v="P00034"/>
    <x v="5"/>
    <x v="5"/>
    <x v="2"/>
    <x v="2"/>
    <x v="3"/>
    <x v="0"/>
    <x v="17"/>
    <n v="48"/>
    <n v="6.5"/>
    <s v="Dimensity 1300"/>
    <x v="0"/>
    <s v="Silver"/>
    <x v="1"/>
    <x v="0"/>
    <x v="1"/>
    <n v="499"/>
    <x v="29"/>
  </r>
  <r>
    <s v="P00035"/>
    <x v="2"/>
    <x v="2"/>
    <x v="4"/>
    <x v="4"/>
    <x v="3"/>
    <x v="3"/>
    <x v="7"/>
    <n v="108"/>
    <n v="6.67"/>
    <s v="Dimensity 8020"/>
    <x v="0"/>
    <s v="Silver"/>
    <x v="1"/>
    <x v="2"/>
    <x v="0"/>
    <n v="599"/>
    <x v="30"/>
  </r>
  <r>
    <s v="P00036"/>
    <x v="7"/>
    <x v="11"/>
    <x v="0"/>
    <x v="0"/>
    <x v="0"/>
    <x v="1"/>
    <x v="17"/>
    <n v="12"/>
    <n v="6.4"/>
    <s v="A15"/>
    <x v="3"/>
    <s v="Black"/>
    <x v="0"/>
    <x v="5"/>
    <x v="1"/>
    <n v="899"/>
    <x v="31"/>
  </r>
  <r>
    <s v="P00037"/>
    <x v="8"/>
    <x v="8"/>
    <x v="2"/>
    <x v="2"/>
    <x v="2"/>
    <x v="0"/>
    <x v="5"/>
    <n v="12"/>
    <n v="6.78"/>
    <s v="Kirin 9000"/>
    <x v="0"/>
    <s v="Black"/>
    <x v="1"/>
    <x v="2"/>
    <x v="1"/>
    <n v="699"/>
    <x v="32"/>
  </r>
  <r>
    <s v="P00038"/>
    <x v="9"/>
    <x v="10"/>
    <x v="4"/>
    <x v="4"/>
    <x v="1"/>
    <x v="3"/>
    <x v="12"/>
    <n v="64"/>
    <n v="6.4"/>
    <s v="Exynos 1380"/>
    <x v="0"/>
    <s v="Blue"/>
    <x v="1"/>
    <x v="1"/>
    <x v="0"/>
    <n v="449"/>
    <x v="33"/>
  </r>
  <r>
    <s v="P00039"/>
    <x v="2"/>
    <x v="2"/>
    <x v="3"/>
    <x v="3"/>
    <x v="1"/>
    <x v="1"/>
    <x v="11"/>
    <n v="108"/>
    <n v="6.1"/>
    <s v="Dimensity 8020"/>
    <x v="3"/>
    <s v="Silver"/>
    <x v="0"/>
    <x v="2"/>
    <x v="1"/>
    <n v="599"/>
    <x v="34"/>
  </r>
  <r>
    <s v="P00040"/>
    <x v="5"/>
    <x v="5"/>
    <x v="3"/>
    <x v="3"/>
    <x v="2"/>
    <x v="3"/>
    <x v="16"/>
    <n v="64"/>
    <n v="6.67"/>
    <s v="Dimensity 1300"/>
    <x v="3"/>
    <s v="Green"/>
    <x v="0"/>
    <x v="1"/>
    <x v="1"/>
    <n v="499"/>
    <x v="10"/>
  </r>
  <r>
    <s v="P00041"/>
    <x v="9"/>
    <x v="10"/>
    <x v="3"/>
    <x v="3"/>
    <x v="0"/>
    <x v="2"/>
    <x v="18"/>
    <n v="108"/>
    <n v="6.4"/>
    <s v="Exynos 1380"/>
    <x v="0"/>
    <s v="Blue"/>
    <x v="0"/>
    <x v="4"/>
    <x v="0"/>
    <n v="449"/>
    <x v="35"/>
  </r>
  <r>
    <s v="P00042"/>
    <x v="9"/>
    <x v="12"/>
    <x v="4"/>
    <x v="4"/>
    <x v="3"/>
    <x v="0"/>
    <x v="8"/>
    <n v="64"/>
    <n v="6.2"/>
    <s v="Snapdragon 8 Gen 1"/>
    <x v="3"/>
    <s v="Green"/>
    <x v="0"/>
    <x v="2"/>
    <x v="0"/>
    <n v="999"/>
    <x v="36"/>
  </r>
  <r>
    <s v="P00043"/>
    <x v="3"/>
    <x v="3"/>
    <x v="0"/>
    <x v="0"/>
    <x v="0"/>
    <x v="3"/>
    <x v="9"/>
    <n v="64"/>
    <n v="6.1"/>
    <s v="Snapdragon 8 Gen2"/>
    <x v="2"/>
    <s v="Blue"/>
    <x v="0"/>
    <x v="4"/>
    <x v="1"/>
    <n v="799"/>
    <x v="37"/>
  </r>
  <r>
    <s v="P00044"/>
    <x v="5"/>
    <x v="5"/>
    <x v="2"/>
    <x v="2"/>
    <x v="2"/>
    <x v="3"/>
    <x v="14"/>
    <n v="108"/>
    <n v="6.4"/>
    <s v="Dimensity 1300"/>
    <x v="0"/>
    <s v="Blue"/>
    <x v="0"/>
    <x v="7"/>
    <x v="1"/>
    <n v="499"/>
    <x v="38"/>
  </r>
  <r>
    <s v="P00045"/>
    <x v="6"/>
    <x v="9"/>
    <x v="3"/>
    <x v="3"/>
    <x v="1"/>
    <x v="3"/>
    <x v="9"/>
    <n v="64"/>
    <n v="6.5"/>
    <s v="Snapdragon 680"/>
    <x v="0"/>
    <s v="Black"/>
    <x v="0"/>
    <x v="3"/>
    <x v="1"/>
    <n v="299"/>
    <x v="39"/>
  </r>
  <r>
    <s v="P00046"/>
    <x v="3"/>
    <x v="3"/>
    <x v="0"/>
    <x v="0"/>
    <x v="3"/>
    <x v="1"/>
    <x v="19"/>
    <n v="108"/>
    <n v="6.5"/>
    <s v="Snapdragon 8 Gen2"/>
    <x v="0"/>
    <s v="Purple"/>
    <x v="0"/>
    <x v="6"/>
    <x v="1"/>
    <n v="799"/>
    <x v="40"/>
  </r>
  <r>
    <s v="P00047"/>
    <x v="7"/>
    <x v="13"/>
    <x v="1"/>
    <x v="1"/>
    <x v="2"/>
    <x v="2"/>
    <x v="20"/>
    <n v="50"/>
    <n v="6.4"/>
    <s v="A14"/>
    <x v="0"/>
    <s v="Silver"/>
    <x v="0"/>
    <x v="5"/>
    <x v="0"/>
    <n v="699"/>
    <x v="41"/>
  </r>
  <r>
    <s v="P00048"/>
    <x v="6"/>
    <x v="6"/>
    <x v="4"/>
    <x v="4"/>
    <x v="3"/>
    <x v="1"/>
    <x v="6"/>
    <n v="108"/>
    <n v="6.7"/>
    <s v="Snapdragon 778G"/>
    <x v="3"/>
    <s v="White"/>
    <x v="0"/>
    <x v="3"/>
    <x v="0"/>
    <n v="399"/>
    <x v="42"/>
  </r>
  <r>
    <s v="P00049"/>
    <x v="4"/>
    <x v="4"/>
    <x v="0"/>
    <x v="0"/>
    <x v="1"/>
    <x v="1"/>
    <x v="9"/>
    <n v="50"/>
    <n v="6.78"/>
    <s v="Dimensity 7200"/>
    <x v="3"/>
    <s v="Silver"/>
    <x v="1"/>
    <x v="7"/>
    <x v="0"/>
    <n v="549"/>
    <x v="9"/>
  </r>
  <r>
    <s v="P00050"/>
    <x v="1"/>
    <x v="1"/>
    <x v="1"/>
    <x v="1"/>
    <x v="3"/>
    <x v="0"/>
    <x v="4"/>
    <n v="50"/>
    <n v="6.67"/>
    <s v="Tensor G2"/>
    <x v="0"/>
    <s v="Green"/>
    <x v="1"/>
    <x v="1"/>
    <x v="0"/>
    <n v="599"/>
    <x v="43"/>
  </r>
  <r>
    <s v="P00051"/>
    <x v="5"/>
    <x v="5"/>
    <x v="2"/>
    <x v="2"/>
    <x v="2"/>
    <x v="0"/>
    <x v="12"/>
    <n v="48"/>
    <n v="6.1"/>
    <s v="Dimensity 1300"/>
    <x v="3"/>
    <s v="Green"/>
    <x v="0"/>
    <x v="2"/>
    <x v="1"/>
    <n v="499"/>
    <x v="44"/>
  </r>
  <r>
    <s v="P00052"/>
    <x v="4"/>
    <x v="4"/>
    <x v="4"/>
    <x v="4"/>
    <x v="0"/>
    <x v="3"/>
    <x v="6"/>
    <n v="48"/>
    <n v="6.2"/>
    <s v="Dimensity 7200"/>
    <x v="0"/>
    <s v="White"/>
    <x v="0"/>
    <x v="2"/>
    <x v="0"/>
    <n v="549"/>
    <x v="43"/>
  </r>
  <r>
    <s v="P00053"/>
    <x v="6"/>
    <x v="9"/>
    <x v="3"/>
    <x v="3"/>
    <x v="0"/>
    <x v="0"/>
    <x v="21"/>
    <n v="64"/>
    <n v="6.78"/>
    <s v="Snapdragon 680"/>
    <x v="0"/>
    <s v="Purple"/>
    <x v="1"/>
    <x v="1"/>
    <x v="1"/>
    <n v="299"/>
    <x v="45"/>
  </r>
  <r>
    <s v="P00054"/>
    <x v="2"/>
    <x v="2"/>
    <x v="3"/>
    <x v="3"/>
    <x v="1"/>
    <x v="3"/>
    <x v="3"/>
    <n v="64"/>
    <n v="6.5"/>
    <s v="Dimensity 8020"/>
    <x v="1"/>
    <s v="Black"/>
    <x v="1"/>
    <x v="1"/>
    <x v="1"/>
    <n v="599"/>
    <x v="46"/>
  </r>
  <r>
    <s v="P00055"/>
    <x v="8"/>
    <x v="8"/>
    <x v="2"/>
    <x v="2"/>
    <x v="2"/>
    <x v="3"/>
    <x v="6"/>
    <n v="50"/>
    <n v="6.5"/>
    <s v="Kirin 9000"/>
    <x v="0"/>
    <s v="Blue"/>
    <x v="0"/>
    <x v="0"/>
    <x v="0"/>
    <n v="699"/>
    <x v="47"/>
  </r>
  <r>
    <s v="P00056"/>
    <x v="7"/>
    <x v="11"/>
    <x v="4"/>
    <x v="4"/>
    <x v="2"/>
    <x v="0"/>
    <x v="22"/>
    <n v="12"/>
    <n v="6.7"/>
    <s v="A15"/>
    <x v="2"/>
    <s v="Purple"/>
    <x v="0"/>
    <x v="6"/>
    <x v="1"/>
    <n v="899"/>
    <x v="48"/>
  </r>
  <r>
    <s v="P00057"/>
    <x v="7"/>
    <x v="7"/>
    <x v="2"/>
    <x v="2"/>
    <x v="0"/>
    <x v="1"/>
    <x v="18"/>
    <n v="12"/>
    <n v="6.67"/>
    <s v="A15"/>
    <x v="3"/>
    <s v="White"/>
    <x v="1"/>
    <x v="3"/>
    <x v="0"/>
    <n v="799"/>
    <x v="49"/>
  </r>
  <r>
    <s v="P00058"/>
    <x v="6"/>
    <x v="9"/>
    <x v="0"/>
    <x v="0"/>
    <x v="2"/>
    <x v="3"/>
    <x v="23"/>
    <n v="64"/>
    <n v="6.67"/>
    <s v="Snapdragon 680"/>
    <x v="3"/>
    <s v="Silver"/>
    <x v="1"/>
    <x v="4"/>
    <x v="0"/>
    <n v="299"/>
    <x v="22"/>
  </r>
  <r>
    <s v="P00059"/>
    <x v="6"/>
    <x v="6"/>
    <x v="1"/>
    <x v="1"/>
    <x v="1"/>
    <x v="0"/>
    <x v="16"/>
    <n v="64"/>
    <n v="6.1"/>
    <s v="Snapdragon 778G"/>
    <x v="1"/>
    <s v="White"/>
    <x v="0"/>
    <x v="6"/>
    <x v="0"/>
    <n v="399"/>
    <x v="42"/>
  </r>
  <r>
    <s v="P00060"/>
    <x v="0"/>
    <x v="0"/>
    <x v="4"/>
    <x v="4"/>
    <x v="0"/>
    <x v="2"/>
    <x v="24"/>
    <n v="64"/>
    <n v="6.7"/>
    <s v="Dimensity 8100"/>
    <x v="3"/>
    <s v="Purple"/>
    <x v="1"/>
    <x v="2"/>
    <x v="1"/>
    <n v="599"/>
    <x v="50"/>
  </r>
  <r>
    <s v="P00061"/>
    <x v="4"/>
    <x v="4"/>
    <x v="1"/>
    <x v="1"/>
    <x v="1"/>
    <x v="1"/>
    <x v="3"/>
    <n v="50"/>
    <n v="6.2"/>
    <s v="Dimensity 7200"/>
    <x v="3"/>
    <s v="Silver"/>
    <x v="0"/>
    <x v="7"/>
    <x v="1"/>
    <n v="549"/>
    <x v="51"/>
  </r>
  <r>
    <s v="P00062"/>
    <x v="9"/>
    <x v="12"/>
    <x v="3"/>
    <x v="3"/>
    <x v="1"/>
    <x v="3"/>
    <x v="20"/>
    <n v="64"/>
    <n v="6.78"/>
    <s v="Snapdragon 8 Gen 1"/>
    <x v="1"/>
    <s v="Black"/>
    <x v="0"/>
    <x v="4"/>
    <x v="0"/>
    <n v="999"/>
    <x v="52"/>
  </r>
  <r>
    <s v="P00063"/>
    <x v="1"/>
    <x v="1"/>
    <x v="3"/>
    <x v="3"/>
    <x v="0"/>
    <x v="3"/>
    <x v="3"/>
    <n v="48"/>
    <n v="6.67"/>
    <s v="Tensor G2"/>
    <x v="0"/>
    <s v="Silver"/>
    <x v="1"/>
    <x v="6"/>
    <x v="1"/>
    <n v="599"/>
    <x v="53"/>
  </r>
  <r>
    <s v="P00064"/>
    <x v="6"/>
    <x v="6"/>
    <x v="3"/>
    <x v="3"/>
    <x v="3"/>
    <x v="2"/>
    <x v="19"/>
    <n v="12"/>
    <n v="6.4"/>
    <s v="Snapdragon 778G"/>
    <x v="0"/>
    <s v="White"/>
    <x v="1"/>
    <x v="4"/>
    <x v="0"/>
    <n v="399"/>
    <x v="54"/>
  </r>
  <r>
    <s v="P00065"/>
    <x v="1"/>
    <x v="1"/>
    <x v="2"/>
    <x v="2"/>
    <x v="1"/>
    <x v="0"/>
    <x v="10"/>
    <n v="48"/>
    <n v="6.7"/>
    <s v="Tensor G2"/>
    <x v="1"/>
    <s v="White"/>
    <x v="1"/>
    <x v="1"/>
    <x v="1"/>
    <n v="599"/>
    <x v="55"/>
  </r>
  <r>
    <s v="P00066"/>
    <x v="6"/>
    <x v="9"/>
    <x v="3"/>
    <x v="3"/>
    <x v="2"/>
    <x v="2"/>
    <x v="11"/>
    <n v="50"/>
    <n v="6.7"/>
    <s v="Snapdragon 680"/>
    <x v="0"/>
    <s v="Blue"/>
    <x v="0"/>
    <x v="1"/>
    <x v="1"/>
    <n v="299"/>
    <x v="56"/>
  </r>
  <r>
    <s v="P00067"/>
    <x v="9"/>
    <x v="10"/>
    <x v="2"/>
    <x v="2"/>
    <x v="3"/>
    <x v="2"/>
    <x v="0"/>
    <n v="108"/>
    <n v="6.5"/>
    <s v="Exynos 1380"/>
    <x v="1"/>
    <s v="Silver"/>
    <x v="1"/>
    <x v="2"/>
    <x v="0"/>
    <n v="449"/>
    <x v="57"/>
  </r>
  <r>
    <s v="P00068"/>
    <x v="1"/>
    <x v="1"/>
    <x v="3"/>
    <x v="3"/>
    <x v="2"/>
    <x v="3"/>
    <x v="24"/>
    <n v="64"/>
    <n v="6.5"/>
    <s v="Tensor G2"/>
    <x v="3"/>
    <s v="Silver"/>
    <x v="0"/>
    <x v="1"/>
    <x v="1"/>
    <n v="599"/>
    <x v="25"/>
  </r>
  <r>
    <s v="P00069"/>
    <x v="3"/>
    <x v="3"/>
    <x v="3"/>
    <x v="3"/>
    <x v="2"/>
    <x v="2"/>
    <x v="2"/>
    <n v="50"/>
    <n v="6.5"/>
    <s v="Snapdragon 8 Gen2"/>
    <x v="3"/>
    <s v="Blue"/>
    <x v="1"/>
    <x v="0"/>
    <x v="0"/>
    <n v="799"/>
    <x v="58"/>
  </r>
  <r>
    <s v="P00070"/>
    <x v="1"/>
    <x v="1"/>
    <x v="3"/>
    <x v="3"/>
    <x v="1"/>
    <x v="0"/>
    <x v="0"/>
    <n v="48"/>
    <n v="6.5"/>
    <s v="Tensor G2"/>
    <x v="3"/>
    <s v="Silver"/>
    <x v="0"/>
    <x v="1"/>
    <x v="1"/>
    <n v="599"/>
    <x v="59"/>
  </r>
  <r>
    <s v="P00071"/>
    <x v="3"/>
    <x v="3"/>
    <x v="2"/>
    <x v="2"/>
    <x v="1"/>
    <x v="2"/>
    <x v="15"/>
    <n v="64"/>
    <n v="6.78"/>
    <s v="Snapdragon 8 Gen2"/>
    <x v="0"/>
    <s v="Purple"/>
    <x v="1"/>
    <x v="2"/>
    <x v="1"/>
    <n v="799"/>
    <x v="60"/>
  </r>
  <r>
    <s v="P00072"/>
    <x v="4"/>
    <x v="4"/>
    <x v="3"/>
    <x v="3"/>
    <x v="3"/>
    <x v="3"/>
    <x v="14"/>
    <n v="108"/>
    <n v="6.4"/>
    <s v="Dimensity 7200"/>
    <x v="3"/>
    <s v="Black"/>
    <x v="1"/>
    <x v="3"/>
    <x v="1"/>
    <n v="549"/>
    <x v="61"/>
  </r>
  <r>
    <s v="P00073"/>
    <x v="8"/>
    <x v="8"/>
    <x v="3"/>
    <x v="3"/>
    <x v="0"/>
    <x v="3"/>
    <x v="24"/>
    <n v="50"/>
    <n v="6.78"/>
    <s v="Kirin 9000"/>
    <x v="3"/>
    <s v="Silver"/>
    <x v="0"/>
    <x v="7"/>
    <x v="1"/>
    <n v="699"/>
    <x v="62"/>
  </r>
  <r>
    <s v="P00074"/>
    <x v="1"/>
    <x v="1"/>
    <x v="4"/>
    <x v="4"/>
    <x v="0"/>
    <x v="2"/>
    <x v="12"/>
    <n v="12"/>
    <n v="6.78"/>
    <s v="Tensor G2"/>
    <x v="1"/>
    <s v="Black"/>
    <x v="0"/>
    <x v="3"/>
    <x v="1"/>
    <n v="599"/>
    <x v="63"/>
  </r>
  <r>
    <s v="P00075"/>
    <x v="8"/>
    <x v="8"/>
    <x v="3"/>
    <x v="3"/>
    <x v="3"/>
    <x v="3"/>
    <x v="3"/>
    <n v="48"/>
    <n v="6.2"/>
    <s v="Kirin 9000"/>
    <x v="3"/>
    <s v="Green"/>
    <x v="1"/>
    <x v="3"/>
    <x v="0"/>
    <n v="699"/>
    <x v="64"/>
  </r>
  <r>
    <s v="P00076"/>
    <x v="4"/>
    <x v="4"/>
    <x v="2"/>
    <x v="2"/>
    <x v="0"/>
    <x v="1"/>
    <x v="8"/>
    <n v="108"/>
    <n v="6.67"/>
    <s v="Dimensity 7200"/>
    <x v="0"/>
    <s v="Black"/>
    <x v="0"/>
    <x v="1"/>
    <x v="0"/>
    <n v="549"/>
    <x v="65"/>
  </r>
  <r>
    <s v="P00077"/>
    <x v="5"/>
    <x v="5"/>
    <x v="2"/>
    <x v="2"/>
    <x v="3"/>
    <x v="2"/>
    <x v="1"/>
    <n v="12"/>
    <n v="6.2"/>
    <s v="Dimensity 1300"/>
    <x v="0"/>
    <s v="Black"/>
    <x v="0"/>
    <x v="6"/>
    <x v="1"/>
    <n v="499"/>
    <x v="66"/>
  </r>
  <r>
    <s v="P00078"/>
    <x v="2"/>
    <x v="2"/>
    <x v="2"/>
    <x v="2"/>
    <x v="0"/>
    <x v="2"/>
    <x v="12"/>
    <n v="50"/>
    <n v="6.1"/>
    <s v="Dimensity 8020"/>
    <x v="3"/>
    <s v="Green"/>
    <x v="0"/>
    <x v="6"/>
    <x v="0"/>
    <n v="599"/>
    <x v="67"/>
  </r>
  <r>
    <s v="P00079"/>
    <x v="6"/>
    <x v="6"/>
    <x v="3"/>
    <x v="3"/>
    <x v="3"/>
    <x v="1"/>
    <x v="18"/>
    <n v="48"/>
    <n v="6.7"/>
    <s v="Snapdragon 778G"/>
    <x v="0"/>
    <s v="Purple"/>
    <x v="0"/>
    <x v="6"/>
    <x v="0"/>
    <n v="399"/>
    <x v="68"/>
  </r>
  <r>
    <s v="P00080"/>
    <x v="9"/>
    <x v="12"/>
    <x v="3"/>
    <x v="3"/>
    <x v="0"/>
    <x v="2"/>
    <x v="25"/>
    <n v="48"/>
    <n v="6.2"/>
    <s v="Snapdragon 8 Gen 1"/>
    <x v="1"/>
    <s v="Blue"/>
    <x v="1"/>
    <x v="4"/>
    <x v="0"/>
    <n v="999"/>
    <x v="69"/>
  </r>
  <r>
    <s v="P00081"/>
    <x v="3"/>
    <x v="3"/>
    <x v="1"/>
    <x v="1"/>
    <x v="0"/>
    <x v="2"/>
    <x v="16"/>
    <n v="50"/>
    <n v="6.4"/>
    <s v="Snapdragon 8 Gen2"/>
    <x v="2"/>
    <s v="Silver"/>
    <x v="0"/>
    <x v="4"/>
    <x v="0"/>
    <n v="799"/>
    <x v="70"/>
  </r>
  <r>
    <s v="P00082"/>
    <x v="7"/>
    <x v="7"/>
    <x v="4"/>
    <x v="4"/>
    <x v="0"/>
    <x v="3"/>
    <x v="12"/>
    <n v="50"/>
    <n v="6.1"/>
    <s v="A15"/>
    <x v="1"/>
    <s v="Black"/>
    <x v="0"/>
    <x v="5"/>
    <x v="1"/>
    <n v="799"/>
    <x v="20"/>
  </r>
  <r>
    <s v="P00083"/>
    <x v="8"/>
    <x v="8"/>
    <x v="0"/>
    <x v="0"/>
    <x v="1"/>
    <x v="1"/>
    <x v="18"/>
    <n v="50"/>
    <n v="6.7"/>
    <s v="Kirin 9000"/>
    <x v="2"/>
    <s v="Green"/>
    <x v="1"/>
    <x v="5"/>
    <x v="0"/>
    <n v="699"/>
    <x v="71"/>
  </r>
  <r>
    <s v="P00084"/>
    <x v="2"/>
    <x v="2"/>
    <x v="2"/>
    <x v="2"/>
    <x v="2"/>
    <x v="3"/>
    <x v="22"/>
    <n v="108"/>
    <n v="6.2"/>
    <s v="Dimensity 8020"/>
    <x v="3"/>
    <s v="Green"/>
    <x v="0"/>
    <x v="4"/>
    <x v="1"/>
    <n v="599"/>
    <x v="72"/>
  </r>
  <r>
    <s v="P00085"/>
    <x v="2"/>
    <x v="2"/>
    <x v="0"/>
    <x v="0"/>
    <x v="3"/>
    <x v="3"/>
    <x v="13"/>
    <n v="50"/>
    <n v="6.78"/>
    <s v="Dimensity 8020"/>
    <x v="0"/>
    <s v="Purple"/>
    <x v="0"/>
    <x v="5"/>
    <x v="1"/>
    <n v="599"/>
    <x v="24"/>
  </r>
  <r>
    <s v="P00086"/>
    <x v="1"/>
    <x v="1"/>
    <x v="2"/>
    <x v="2"/>
    <x v="2"/>
    <x v="0"/>
    <x v="17"/>
    <n v="48"/>
    <n v="6.78"/>
    <s v="Tensor G2"/>
    <x v="3"/>
    <s v="Purple"/>
    <x v="1"/>
    <x v="0"/>
    <x v="1"/>
    <n v="599"/>
    <x v="73"/>
  </r>
  <r>
    <s v="P00087"/>
    <x v="7"/>
    <x v="11"/>
    <x v="1"/>
    <x v="1"/>
    <x v="1"/>
    <x v="0"/>
    <x v="3"/>
    <n v="64"/>
    <n v="6.2"/>
    <s v="A15"/>
    <x v="3"/>
    <s v="White"/>
    <x v="1"/>
    <x v="3"/>
    <x v="0"/>
    <n v="899"/>
    <x v="74"/>
  </r>
  <r>
    <s v="P00088"/>
    <x v="7"/>
    <x v="7"/>
    <x v="1"/>
    <x v="1"/>
    <x v="3"/>
    <x v="2"/>
    <x v="16"/>
    <n v="12"/>
    <n v="6.1"/>
    <s v="A15"/>
    <x v="2"/>
    <s v="Black"/>
    <x v="1"/>
    <x v="5"/>
    <x v="1"/>
    <n v="799"/>
    <x v="37"/>
  </r>
  <r>
    <s v="P00089"/>
    <x v="9"/>
    <x v="10"/>
    <x v="0"/>
    <x v="0"/>
    <x v="0"/>
    <x v="1"/>
    <x v="25"/>
    <n v="64"/>
    <n v="6.2"/>
    <s v="Exynos 1380"/>
    <x v="3"/>
    <s v="Purple"/>
    <x v="1"/>
    <x v="0"/>
    <x v="0"/>
    <n v="449"/>
    <x v="17"/>
  </r>
  <r>
    <s v="P00090"/>
    <x v="5"/>
    <x v="5"/>
    <x v="4"/>
    <x v="4"/>
    <x v="2"/>
    <x v="3"/>
    <x v="6"/>
    <n v="12"/>
    <n v="6.4"/>
    <s v="Dimensity 1300"/>
    <x v="2"/>
    <s v="Blue"/>
    <x v="1"/>
    <x v="3"/>
    <x v="1"/>
    <n v="499"/>
    <x v="75"/>
  </r>
  <r>
    <s v="P00091"/>
    <x v="5"/>
    <x v="5"/>
    <x v="3"/>
    <x v="3"/>
    <x v="2"/>
    <x v="3"/>
    <x v="14"/>
    <n v="50"/>
    <n v="6.7"/>
    <s v="Dimensity 1300"/>
    <x v="3"/>
    <s v="Purple"/>
    <x v="1"/>
    <x v="7"/>
    <x v="0"/>
    <n v="499"/>
    <x v="76"/>
  </r>
  <r>
    <s v="P00092"/>
    <x v="8"/>
    <x v="8"/>
    <x v="3"/>
    <x v="3"/>
    <x v="0"/>
    <x v="1"/>
    <x v="7"/>
    <n v="108"/>
    <n v="6.5"/>
    <s v="Kirin 9000"/>
    <x v="0"/>
    <s v="Green"/>
    <x v="0"/>
    <x v="7"/>
    <x v="1"/>
    <n v="699"/>
    <x v="77"/>
  </r>
  <r>
    <s v="P00093"/>
    <x v="9"/>
    <x v="10"/>
    <x v="2"/>
    <x v="2"/>
    <x v="1"/>
    <x v="0"/>
    <x v="12"/>
    <n v="108"/>
    <n v="6.4"/>
    <s v="Exynos 1380"/>
    <x v="2"/>
    <s v="Black"/>
    <x v="0"/>
    <x v="6"/>
    <x v="0"/>
    <n v="449"/>
    <x v="78"/>
  </r>
  <r>
    <s v="P00094"/>
    <x v="8"/>
    <x v="8"/>
    <x v="4"/>
    <x v="4"/>
    <x v="3"/>
    <x v="0"/>
    <x v="1"/>
    <n v="108"/>
    <n v="6.2"/>
    <s v="Kirin 9000"/>
    <x v="0"/>
    <s v="Silver"/>
    <x v="1"/>
    <x v="0"/>
    <x v="1"/>
    <n v="699"/>
    <x v="72"/>
  </r>
  <r>
    <s v="P00095"/>
    <x v="4"/>
    <x v="4"/>
    <x v="3"/>
    <x v="3"/>
    <x v="1"/>
    <x v="2"/>
    <x v="22"/>
    <n v="108"/>
    <n v="6.1"/>
    <s v="Dimensity 7200"/>
    <x v="1"/>
    <s v="Silver"/>
    <x v="0"/>
    <x v="1"/>
    <x v="0"/>
    <n v="549"/>
    <x v="79"/>
  </r>
  <r>
    <s v="P00096"/>
    <x v="8"/>
    <x v="8"/>
    <x v="0"/>
    <x v="0"/>
    <x v="0"/>
    <x v="3"/>
    <x v="14"/>
    <n v="12"/>
    <n v="6.67"/>
    <s v="Kirin 9000"/>
    <x v="1"/>
    <s v="Purple"/>
    <x v="0"/>
    <x v="7"/>
    <x v="1"/>
    <n v="699"/>
    <x v="80"/>
  </r>
  <r>
    <s v="P00097"/>
    <x v="6"/>
    <x v="6"/>
    <x v="2"/>
    <x v="2"/>
    <x v="1"/>
    <x v="2"/>
    <x v="24"/>
    <n v="50"/>
    <n v="6.67"/>
    <s v="Snapdragon 778G"/>
    <x v="1"/>
    <s v="Purple"/>
    <x v="0"/>
    <x v="6"/>
    <x v="0"/>
    <n v="399"/>
    <x v="81"/>
  </r>
  <r>
    <s v="P00098"/>
    <x v="5"/>
    <x v="5"/>
    <x v="0"/>
    <x v="0"/>
    <x v="1"/>
    <x v="0"/>
    <x v="3"/>
    <n v="12"/>
    <n v="6.67"/>
    <s v="Dimensity 1300"/>
    <x v="0"/>
    <s v="Silver"/>
    <x v="1"/>
    <x v="1"/>
    <x v="0"/>
    <n v="499"/>
    <x v="82"/>
  </r>
  <r>
    <s v="P00099"/>
    <x v="4"/>
    <x v="4"/>
    <x v="2"/>
    <x v="2"/>
    <x v="2"/>
    <x v="2"/>
    <x v="24"/>
    <n v="48"/>
    <n v="6.78"/>
    <s v="Dimensity 7200"/>
    <x v="3"/>
    <s v="Black"/>
    <x v="0"/>
    <x v="3"/>
    <x v="0"/>
    <n v="549"/>
    <x v="83"/>
  </r>
  <r>
    <s v="P00100"/>
    <x v="2"/>
    <x v="2"/>
    <x v="4"/>
    <x v="4"/>
    <x v="0"/>
    <x v="2"/>
    <x v="12"/>
    <n v="50"/>
    <n v="6.78"/>
    <s v="Dimensity 8020"/>
    <x v="0"/>
    <s v="Green"/>
    <x v="0"/>
    <x v="7"/>
    <x v="0"/>
    <n v="599"/>
    <x v="37"/>
  </r>
  <r>
    <s v="P00101"/>
    <x v="4"/>
    <x v="4"/>
    <x v="1"/>
    <x v="1"/>
    <x v="3"/>
    <x v="0"/>
    <x v="19"/>
    <n v="48"/>
    <n v="6.2"/>
    <s v="Dimensity 7200"/>
    <x v="3"/>
    <s v="Green"/>
    <x v="1"/>
    <x v="1"/>
    <x v="0"/>
    <n v="549"/>
    <x v="3"/>
  </r>
  <r>
    <s v="P00102"/>
    <x v="1"/>
    <x v="1"/>
    <x v="2"/>
    <x v="2"/>
    <x v="2"/>
    <x v="1"/>
    <x v="5"/>
    <n v="108"/>
    <n v="6.7"/>
    <s v="Tensor G2"/>
    <x v="1"/>
    <s v="Silver"/>
    <x v="1"/>
    <x v="5"/>
    <x v="1"/>
    <n v="599"/>
    <x v="1"/>
  </r>
  <r>
    <s v="P00103"/>
    <x v="8"/>
    <x v="8"/>
    <x v="2"/>
    <x v="2"/>
    <x v="0"/>
    <x v="1"/>
    <x v="15"/>
    <n v="64"/>
    <n v="6.2"/>
    <s v="Kirin 9000"/>
    <x v="3"/>
    <s v="Black"/>
    <x v="0"/>
    <x v="2"/>
    <x v="0"/>
    <n v="699"/>
    <x v="80"/>
  </r>
  <r>
    <s v="P00104"/>
    <x v="5"/>
    <x v="5"/>
    <x v="1"/>
    <x v="1"/>
    <x v="1"/>
    <x v="3"/>
    <x v="6"/>
    <n v="12"/>
    <n v="6.7"/>
    <s v="Dimensity 1300"/>
    <x v="1"/>
    <s v="Green"/>
    <x v="0"/>
    <x v="1"/>
    <x v="1"/>
    <n v="499"/>
    <x v="84"/>
  </r>
  <r>
    <s v="P00105"/>
    <x v="4"/>
    <x v="4"/>
    <x v="0"/>
    <x v="0"/>
    <x v="0"/>
    <x v="0"/>
    <x v="11"/>
    <n v="64"/>
    <n v="6.5"/>
    <s v="Dimensity 7200"/>
    <x v="2"/>
    <s v="Green"/>
    <x v="1"/>
    <x v="3"/>
    <x v="1"/>
    <n v="549"/>
    <x v="85"/>
  </r>
  <r>
    <s v="P00106"/>
    <x v="8"/>
    <x v="8"/>
    <x v="4"/>
    <x v="4"/>
    <x v="0"/>
    <x v="1"/>
    <x v="14"/>
    <n v="48"/>
    <n v="6.1"/>
    <s v="Kirin 9000"/>
    <x v="2"/>
    <s v="Silver"/>
    <x v="1"/>
    <x v="1"/>
    <x v="0"/>
    <n v="699"/>
    <x v="71"/>
  </r>
  <r>
    <s v="P00107"/>
    <x v="9"/>
    <x v="10"/>
    <x v="4"/>
    <x v="4"/>
    <x v="0"/>
    <x v="1"/>
    <x v="10"/>
    <n v="64"/>
    <n v="6.67"/>
    <s v="Exynos 1380"/>
    <x v="0"/>
    <s v="Green"/>
    <x v="0"/>
    <x v="1"/>
    <x v="1"/>
    <n v="449"/>
    <x v="86"/>
  </r>
  <r>
    <s v="P00108"/>
    <x v="4"/>
    <x v="4"/>
    <x v="4"/>
    <x v="4"/>
    <x v="3"/>
    <x v="0"/>
    <x v="17"/>
    <n v="50"/>
    <n v="6.78"/>
    <s v="Dimensity 7200"/>
    <x v="3"/>
    <s v="Blue"/>
    <x v="0"/>
    <x v="4"/>
    <x v="1"/>
    <n v="549"/>
    <x v="67"/>
  </r>
  <r>
    <s v="P00109"/>
    <x v="3"/>
    <x v="3"/>
    <x v="0"/>
    <x v="0"/>
    <x v="2"/>
    <x v="2"/>
    <x v="11"/>
    <n v="50"/>
    <n v="6.1"/>
    <s v="Snapdragon 8 Gen2"/>
    <x v="3"/>
    <s v="Black"/>
    <x v="1"/>
    <x v="2"/>
    <x v="1"/>
    <n v="799"/>
    <x v="87"/>
  </r>
  <r>
    <s v="P00110"/>
    <x v="5"/>
    <x v="5"/>
    <x v="3"/>
    <x v="3"/>
    <x v="3"/>
    <x v="0"/>
    <x v="4"/>
    <n v="12"/>
    <n v="6.67"/>
    <s v="Dimensity 1300"/>
    <x v="0"/>
    <s v="Black"/>
    <x v="1"/>
    <x v="6"/>
    <x v="1"/>
    <n v="499"/>
    <x v="88"/>
  </r>
  <r>
    <s v="P00111"/>
    <x v="7"/>
    <x v="11"/>
    <x v="4"/>
    <x v="4"/>
    <x v="2"/>
    <x v="2"/>
    <x v="16"/>
    <n v="50"/>
    <n v="6.2"/>
    <s v="A15"/>
    <x v="0"/>
    <s v="White"/>
    <x v="1"/>
    <x v="4"/>
    <x v="0"/>
    <n v="899"/>
    <x v="89"/>
  </r>
  <r>
    <s v="P00112"/>
    <x v="2"/>
    <x v="2"/>
    <x v="1"/>
    <x v="1"/>
    <x v="2"/>
    <x v="0"/>
    <x v="25"/>
    <n v="48"/>
    <n v="6.4"/>
    <s v="Dimensity 8020"/>
    <x v="2"/>
    <s v="Silver"/>
    <x v="0"/>
    <x v="2"/>
    <x v="1"/>
    <n v="599"/>
    <x v="90"/>
  </r>
  <r>
    <s v="P00113"/>
    <x v="6"/>
    <x v="9"/>
    <x v="1"/>
    <x v="1"/>
    <x v="1"/>
    <x v="2"/>
    <x v="12"/>
    <n v="48"/>
    <n v="6.78"/>
    <s v="Snapdragon 680"/>
    <x v="1"/>
    <s v="Silver"/>
    <x v="1"/>
    <x v="6"/>
    <x v="0"/>
    <n v="299"/>
    <x v="22"/>
  </r>
  <r>
    <s v="P00114"/>
    <x v="7"/>
    <x v="7"/>
    <x v="2"/>
    <x v="2"/>
    <x v="2"/>
    <x v="0"/>
    <x v="14"/>
    <n v="108"/>
    <n v="6.78"/>
    <s v="A15"/>
    <x v="0"/>
    <s v="Silver"/>
    <x v="0"/>
    <x v="4"/>
    <x v="0"/>
    <n v="799"/>
    <x v="8"/>
  </r>
  <r>
    <s v="P00115"/>
    <x v="8"/>
    <x v="8"/>
    <x v="3"/>
    <x v="3"/>
    <x v="3"/>
    <x v="2"/>
    <x v="21"/>
    <n v="50"/>
    <n v="6.5"/>
    <s v="Kirin 9000"/>
    <x v="0"/>
    <s v="Silver"/>
    <x v="1"/>
    <x v="3"/>
    <x v="0"/>
    <n v="699"/>
    <x v="91"/>
  </r>
  <r>
    <s v="P00116"/>
    <x v="2"/>
    <x v="2"/>
    <x v="0"/>
    <x v="0"/>
    <x v="3"/>
    <x v="0"/>
    <x v="12"/>
    <n v="50"/>
    <n v="6.1"/>
    <s v="Dimensity 8020"/>
    <x v="0"/>
    <s v="Purple"/>
    <x v="1"/>
    <x v="4"/>
    <x v="0"/>
    <n v="599"/>
    <x v="92"/>
  </r>
  <r>
    <s v="P00117"/>
    <x v="8"/>
    <x v="8"/>
    <x v="2"/>
    <x v="2"/>
    <x v="2"/>
    <x v="3"/>
    <x v="2"/>
    <n v="48"/>
    <n v="6.5"/>
    <s v="Kirin 9000"/>
    <x v="2"/>
    <s v="Purple"/>
    <x v="0"/>
    <x v="7"/>
    <x v="1"/>
    <n v="699"/>
    <x v="93"/>
  </r>
  <r>
    <s v="P00118"/>
    <x v="7"/>
    <x v="13"/>
    <x v="3"/>
    <x v="3"/>
    <x v="1"/>
    <x v="2"/>
    <x v="5"/>
    <n v="48"/>
    <n v="6.7"/>
    <s v="A14"/>
    <x v="0"/>
    <s v="Purple"/>
    <x v="1"/>
    <x v="5"/>
    <x v="1"/>
    <n v="699"/>
    <x v="94"/>
  </r>
  <r>
    <s v="P00119"/>
    <x v="3"/>
    <x v="3"/>
    <x v="0"/>
    <x v="0"/>
    <x v="2"/>
    <x v="0"/>
    <x v="13"/>
    <n v="50"/>
    <n v="6.5"/>
    <s v="Snapdragon 8 Gen2"/>
    <x v="2"/>
    <s v="White"/>
    <x v="1"/>
    <x v="5"/>
    <x v="0"/>
    <n v="799"/>
    <x v="95"/>
  </r>
  <r>
    <s v="P00120"/>
    <x v="7"/>
    <x v="11"/>
    <x v="4"/>
    <x v="4"/>
    <x v="2"/>
    <x v="2"/>
    <x v="5"/>
    <n v="108"/>
    <n v="6.67"/>
    <s v="A15"/>
    <x v="3"/>
    <s v="Green"/>
    <x v="1"/>
    <x v="2"/>
    <x v="0"/>
    <n v="899"/>
    <x v="96"/>
  </r>
  <r>
    <s v="P00121"/>
    <x v="7"/>
    <x v="11"/>
    <x v="4"/>
    <x v="4"/>
    <x v="2"/>
    <x v="2"/>
    <x v="9"/>
    <n v="64"/>
    <n v="6.1"/>
    <s v="A15"/>
    <x v="2"/>
    <s v="Green"/>
    <x v="0"/>
    <x v="4"/>
    <x v="1"/>
    <n v="899"/>
    <x v="95"/>
  </r>
  <r>
    <s v="P00122"/>
    <x v="2"/>
    <x v="2"/>
    <x v="0"/>
    <x v="0"/>
    <x v="1"/>
    <x v="1"/>
    <x v="17"/>
    <n v="108"/>
    <n v="6.5"/>
    <s v="Dimensity 8020"/>
    <x v="0"/>
    <s v="White"/>
    <x v="1"/>
    <x v="1"/>
    <x v="1"/>
    <n v="599"/>
    <x v="97"/>
  </r>
  <r>
    <s v="P00123"/>
    <x v="5"/>
    <x v="5"/>
    <x v="3"/>
    <x v="3"/>
    <x v="0"/>
    <x v="3"/>
    <x v="15"/>
    <n v="12"/>
    <n v="6.67"/>
    <s v="Dimensity 1300"/>
    <x v="3"/>
    <s v="Black"/>
    <x v="1"/>
    <x v="0"/>
    <x v="1"/>
    <n v="499"/>
    <x v="98"/>
  </r>
  <r>
    <s v="P00124"/>
    <x v="8"/>
    <x v="8"/>
    <x v="3"/>
    <x v="3"/>
    <x v="0"/>
    <x v="1"/>
    <x v="10"/>
    <n v="12"/>
    <n v="6.7"/>
    <s v="Kirin 9000"/>
    <x v="1"/>
    <s v="Green"/>
    <x v="1"/>
    <x v="0"/>
    <x v="1"/>
    <n v="699"/>
    <x v="80"/>
  </r>
  <r>
    <s v="P00125"/>
    <x v="0"/>
    <x v="0"/>
    <x v="4"/>
    <x v="4"/>
    <x v="2"/>
    <x v="3"/>
    <x v="7"/>
    <n v="50"/>
    <n v="6.1"/>
    <s v="Dimensity 8100"/>
    <x v="2"/>
    <s v="Silver"/>
    <x v="1"/>
    <x v="1"/>
    <x v="1"/>
    <n v="599"/>
    <x v="99"/>
  </r>
  <r>
    <s v="P00126"/>
    <x v="7"/>
    <x v="13"/>
    <x v="0"/>
    <x v="0"/>
    <x v="0"/>
    <x v="2"/>
    <x v="10"/>
    <n v="108"/>
    <n v="6.5"/>
    <s v="A14"/>
    <x v="2"/>
    <s v="Black"/>
    <x v="0"/>
    <x v="7"/>
    <x v="1"/>
    <n v="699"/>
    <x v="81"/>
  </r>
  <r>
    <s v="P00127"/>
    <x v="6"/>
    <x v="6"/>
    <x v="0"/>
    <x v="0"/>
    <x v="3"/>
    <x v="2"/>
    <x v="21"/>
    <n v="64"/>
    <n v="6.78"/>
    <s v="Snapdragon 778G"/>
    <x v="0"/>
    <s v="Green"/>
    <x v="0"/>
    <x v="2"/>
    <x v="1"/>
    <n v="399"/>
    <x v="100"/>
  </r>
  <r>
    <s v="P00128"/>
    <x v="2"/>
    <x v="2"/>
    <x v="1"/>
    <x v="1"/>
    <x v="0"/>
    <x v="0"/>
    <x v="7"/>
    <n v="50"/>
    <n v="6.1"/>
    <s v="Dimensity 8020"/>
    <x v="0"/>
    <s v="Blue"/>
    <x v="0"/>
    <x v="3"/>
    <x v="1"/>
    <n v="599"/>
    <x v="101"/>
  </r>
  <r>
    <s v="P00129"/>
    <x v="7"/>
    <x v="11"/>
    <x v="2"/>
    <x v="2"/>
    <x v="1"/>
    <x v="3"/>
    <x v="19"/>
    <n v="48"/>
    <n v="6.78"/>
    <s v="A15"/>
    <x v="3"/>
    <s v="Blue"/>
    <x v="0"/>
    <x v="1"/>
    <x v="0"/>
    <n v="899"/>
    <x v="102"/>
  </r>
  <r>
    <s v="P00130"/>
    <x v="4"/>
    <x v="4"/>
    <x v="3"/>
    <x v="3"/>
    <x v="0"/>
    <x v="0"/>
    <x v="12"/>
    <n v="64"/>
    <n v="6.2"/>
    <s v="Dimensity 7200"/>
    <x v="3"/>
    <s v="White"/>
    <x v="1"/>
    <x v="7"/>
    <x v="1"/>
    <n v="549"/>
    <x v="103"/>
  </r>
  <r>
    <s v="P00131"/>
    <x v="9"/>
    <x v="10"/>
    <x v="4"/>
    <x v="4"/>
    <x v="1"/>
    <x v="2"/>
    <x v="24"/>
    <n v="12"/>
    <n v="6.4"/>
    <s v="Exynos 1380"/>
    <x v="3"/>
    <s v="Blue"/>
    <x v="1"/>
    <x v="1"/>
    <x v="1"/>
    <n v="449"/>
    <x v="104"/>
  </r>
  <r>
    <s v="P00132"/>
    <x v="1"/>
    <x v="1"/>
    <x v="0"/>
    <x v="0"/>
    <x v="0"/>
    <x v="2"/>
    <x v="13"/>
    <n v="50"/>
    <n v="6.2"/>
    <s v="Tensor G2"/>
    <x v="3"/>
    <s v="Green"/>
    <x v="1"/>
    <x v="4"/>
    <x v="1"/>
    <n v="599"/>
    <x v="105"/>
  </r>
  <r>
    <s v="P00133"/>
    <x v="1"/>
    <x v="1"/>
    <x v="2"/>
    <x v="2"/>
    <x v="3"/>
    <x v="2"/>
    <x v="23"/>
    <n v="48"/>
    <n v="6.4"/>
    <s v="Tensor G2"/>
    <x v="1"/>
    <s v="Purple"/>
    <x v="1"/>
    <x v="0"/>
    <x v="1"/>
    <n v="599"/>
    <x v="106"/>
  </r>
  <r>
    <s v="P00134"/>
    <x v="9"/>
    <x v="10"/>
    <x v="1"/>
    <x v="1"/>
    <x v="2"/>
    <x v="0"/>
    <x v="22"/>
    <n v="108"/>
    <n v="6.2"/>
    <s v="Exynos 1380"/>
    <x v="0"/>
    <s v="Purple"/>
    <x v="0"/>
    <x v="4"/>
    <x v="0"/>
    <n v="449"/>
    <x v="29"/>
  </r>
  <r>
    <s v="P00135"/>
    <x v="4"/>
    <x v="4"/>
    <x v="4"/>
    <x v="4"/>
    <x v="0"/>
    <x v="2"/>
    <x v="14"/>
    <n v="48"/>
    <n v="6.1"/>
    <s v="Dimensity 7200"/>
    <x v="2"/>
    <s v="Black"/>
    <x v="1"/>
    <x v="5"/>
    <x v="1"/>
    <n v="549"/>
    <x v="107"/>
  </r>
  <r>
    <s v="P00136"/>
    <x v="7"/>
    <x v="7"/>
    <x v="2"/>
    <x v="2"/>
    <x v="0"/>
    <x v="2"/>
    <x v="23"/>
    <n v="108"/>
    <n v="6.7"/>
    <s v="A15"/>
    <x v="0"/>
    <s v="White"/>
    <x v="1"/>
    <x v="7"/>
    <x v="0"/>
    <n v="799"/>
    <x v="106"/>
  </r>
  <r>
    <s v="P00137"/>
    <x v="4"/>
    <x v="4"/>
    <x v="1"/>
    <x v="1"/>
    <x v="0"/>
    <x v="2"/>
    <x v="21"/>
    <n v="12"/>
    <n v="6.67"/>
    <s v="Dimensity 7200"/>
    <x v="0"/>
    <s v="Blue"/>
    <x v="1"/>
    <x v="2"/>
    <x v="1"/>
    <n v="549"/>
    <x v="108"/>
  </r>
  <r>
    <s v="P00138"/>
    <x v="1"/>
    <x v="1"/>
    <x v="4"/>
    <x v="4"/>
    <x v="2"/>
    <x v="2"/>
    <x v="14"/>
    <n v="108"/>
    <n v="6.2"/>
    <s v="Tensor G2"/>
    <x v="3"/>
    <s v="Blue"/>
    <x v="0"/>
    <x v="4"/>
    <x v="1"/>
    <n v="599"/>
    <x v="109"/>
  </r>
  <r>
    <s v="P00139"/>
    <x v="6"/>
    <x v="6"/>
    <x v="0"/>
    <x v="0"/>
    <x v="0"/>
    <x v="3"/>
    <x v="9"/>
    <n v="50"/>
    <n v="6.2"/>
    <s v="Snapdragon 778G"/>
    <x v="3"/>
    <s v="White"/>
    <x v="0"/>
    <x v="0"/>
    <x v="1"/>
    <n v="399"/>
    <x v="42"/>
  </r>
  <r>
    <s v="P00140"/>
    <x v="7"/>
    <x v="7"/>
    <x v="2"/>
    <x v="2"/>
    <x v="2"/>
    <x v="1"/>
    <x v="16"/>
    <n v="50"/>
    <n v="6.4"/>
    <s v="A15"/>
    <x v="0"/>
    <s v="Silver"/>
    <x v="1"/>
    <x v="1"/>
    <x v="0"/>
    <n v="799"/>
    <x v="110"/>
  </r>
  <r>
    <s v="P00141"/>
    <x v="4"/>
    <x v="4"/>
    <x v="0"/>
    <x v="0"/>
    <x v="3"/>
    <x v="2"/>
    <x v="0"/>
    <n v="50"/>
    <n v="6.5"/>
    <s v="Dimensity 7200"/>
    <x v="1"/>
    <s v="Green"/>
    <x v="1"/>
    <x v="2"/>
    <x v="1"/>
    <n v="549"/>
    <x v="111"/>
  </r>
  <r>
    <s v="P00142"/>
    <x v="3"/>
    <x v="3"/>
    <x v="0"/>
    <x v="0"/>
    <x v="3"/>
    <x v="0"/>
    <x v="10"/>
    <n v="12"/>
    <n v="6.2"/>
    <s v="Snapdragon 8 Gen2"/>
    <x v="2"/>
    <s v="Blue"/>
    <x v="1"/>
    <x v="4"/>
    <x v="1"/>
    <n v="799"/>
    <x v="2"/>
  </r>
  <r>
    <s v="P00143"/>
    <x v="2"/>
    <x v="2"/>
    <x v="3"/>
    <x v="3"/>
    <x v="0"/>
    <x v="3"/>
    <x v="15"/>
    <n v="48"/>
    <n v="6.78"/>
    <s v="Dimensity 8020"/>
    <x v="1"/>
    <s v="Blue"/>
    <x v="1"/>
    <x v="5"/>
    <x v="1"/>
    <n v="599"/>
    <x v="1"/>
  </r>
  <r>
    <s v="P00144"/>
    <x v="5"/>
    <x v="5"/>
    <x v="1"/>
    <x v="1"/>
    <x v="2"/>
    <x v="1"/>
    <x v="12"/>
    <n v="50"/>
    <n v="6.7"/>
    <s v="Dimensity 1300"/>
    <x v="1"/>
    <s v="Black"/>
    <x v="1"/>
    <x v="5"/>
    <x v="1"/>
    <n v="499"/>
    <x v="16"/>
  </r>
  <r>
    <s v="P00145"/>
    <x v="8"/>
    <x v="8"/>
    <x v="3"/>
    <x v="3"/>
    <x v="1"/>
    <x v="1"/>
    <x v="0"/>
    <n v="64"/>
    <n v="6.78"/>
    <s v="Kirin 9000"/>
    <x v="3"/>
    <s v="Blue"/>
    <x v="1"/>
    <x v="4"/>
    <x v="1"/>
    <n v="699"/>
    <x v="112"/>
  </r>
  <r>
    <s v="P00146"/>
    <x v="5"/>
    <x v="5"/>
    <x v="2"/>
    <x v="2"/>
    <x v="1"/>
    <x v="3"/>
    <x v="0"/>
    <n v="50"/>
    <n v="6.67"/>
    <s v="Dimensity 1300"/>
    <x v="0"/>
    <s v="Blue"/>
    <x v="1"/>
    <x v="7"/>
    <x v="1"/>
    <n v="499"/>
    <x v="113"/>
  </r>
  <r>
    <s v="P00147"/>
    <x v="9"/>
    <x v="10"/>
    <x v="4"/>
    <x v="4"/>
    <x v="1"/>
    <x v="3"/>
    <x v="20"/>
    <n v="64"/>
    <n v="6.78"/>
    <s v="Exynos 1380"/>
    <x v="2"/>
    <s v="Black"/>
    <x v="1"/>
    <x v="5"/>
    <x v="0"/>
    <n v="449"/>
    <x v="114"/>
  </r>
  <r>
    <s v="P00148"/>
    <x v="1"/>
    <x v="1"/>
    <x v="4"/>
    <x v="4"/>
    <x v="3"/>
    <x v="0"/>
    <x v="14"/>
    <n v="50"/>
    <n v="6.5"/>
    <s v="Tensor G2"/>
    <x v="2"/>
    <s v="Silver"/>
    <x v="1"/>
    <x v="1"/>
    <x v="0"/>
    <n v="599"/>
    <x v="33"/>
  </r>
  <r>
    <s v="P00149"/>
    <x v="3"/>
    <x v="3"/>
    <x v="1"/>
    <x v="1"/>
    <x v="2"/>
    <x v="3"/>
    <x v="20"/>
    <n v="50"/>
    <n v="6.67"/>
    <s v="Snapdragon 8 Gen2"/>
    <x v="3"/>
    <s v="White"/>
    <x v="1"/>
    <x v="4"/>
    <x v="0"/>
    <n v="799"/>
    <x v="115"/>
  </r>
  <r>
    <s v="P00150"/>
    <x v="0"/>
    <x v="0"/>
    <x v="4"/>
    <x v="4"/>
    <x v="0"/>
    <x v="0"/>
    <x v="9"/>
    <n v="108"/>
    <n v="6.7"/>
    <s v="Dimensity 8100"/>
    <x v="3"/>
    <s v="Black"/>
    <x v="1"/>
    <x v="1"/>
    <x v="1"/>
    <n v="599"/>
    <x v="116"/>
  </r>
  <r>
    <s v="P00151"/>
    <x v="7"/>
    <x v="11"/>
    <x v="1"/>
    <x v="1"/>
    <x v="0"/>
    <x v="0"/>
    <x v="15"/>
    <n v="64"/>
    <n v="6.7"/>
    <s v="A15"/>
    <x v="3"/>
    <s v="Black"/>
    <x v="0"/>
    <x v="1"/>
    <x v="1"/>
    <n v="899"/>
    <x v="117"/>
  </r>
  <r>
    <s v="P00152"/>
    <x v="6"/>
    <x v="6"/>
    <x v="4"/>
    <x v="4"/>
    <x v="2"/>
    <x v="3"/>
    <x v="15"/>
    <n v="50"/>
    <n v="6.78"/>
    <s v="Snapdragon 778G"/>
    <x v="1"/>
    <s v="Silver"/>
    <x v="0"/>
    <x v="1"/>
    <x v="1"/>
    <n v="399"/>
    <x v="42"/>
  </r>
  <r>
    <s v="P00153"/>
    <x v="1"/>
    <x v="1"/>
    <x v="4"/>
    <x v="4"/>
    <x v="3"/>
    <x v="3"/>
    <x v="22"/>
    <n v="12"/>
    <n v="6.4"/>
    <s v="Tensor G2"/>
    <x v="0"/>
    <s v="Purple"/>
    <x v="0"/>
    <x v="2"/>
    <x v="1"/>
    <n v="599"/>
    <x v="118"/>
  </r>
  <r>
    <s v="P00154"/>
    <x v="0"/>
    <x v="0"/>
    <x v="4"/>
    <x v="4"/>
    <x v="1"/>
    <x v="0"/>
    <x v="2"/>
    <n v="50"/>
    <n v="6.67"/>
    <s v="Dimensity 8100"/>
    <x v="2"/>
    <s v="Purple"/>
    <x v="0"/>
    <x v="1"/>
    <x v="1"/>
    <n v="599"/>
    <x v="119"/>
  </r>
  <r>
    <s v="P00155"/>
    <x v="3"/>
    <x v="3"/>
    <x v="2"/>
    <x v="2"/>
    <x v="2"/>
    <x v="2"/>
    <x v="21"/>
    <n v="108"/>
    <n v="6.5"/>
    <s v="Snapdragon 8 Gen2"/>
    <x v="3"/>
    <s v="Silver"/>
    <x v="0"/>
    <x v="4"/>
    <x v="1"/>
    <n v="799"/>
    <x v="120"/>
  </r>
  <r>
    <s v="P00156"/>
    <x v="3"/>
    <x v="3"/>
    <x v="1"/>
    <x v="1"/>
    <x v="3"/>
    <x v="3"/>
    <x v="25"/>
    <n v="64"/>
    <n v="6.78"/>
    <s v="Snapdragon 8 Gen2"/>
    <x v="3"/>
    <s v="Black"/>
    <x v="0"/>
    <x v="0"/>
    <x v="0"/>
    <n v="799"/>
    <x v="121"/>
  </r>
  <r>
    <s v="P00157"/>
    <x v="9"/>
    <x v="10"/>
    <x v="2"/>
    <x v="2"/>
    <x v="0"/>
    <x v="2"/>
    <x v="18"/>
    <n v="48"/>
    <n v="6.4"/>
    <s v="Exynos 1380"/>
    <x v="0"/>
    <s v="Black"/>
    <x v="1"/>
    <x v="6"/>
    <x v="0"/>
    <n v="449"/>
    <x v="66"/>
  </r>
  <r>
    <s v="P00158"/>
    <x v="6"/>
    <x v="6"/>
    <x v="2"/>
    <x v="2"/>
    <x v="3"/>
    <x v="0"/>
    <x v="8"/>
    <n v="48"/>
    <n v="6.78"/>
    <s v="Snapdragon 778G"/>
    <x v="1"/>
    <s v="Green"/>
    <x v="1"/>
    <x v="3"/>
    <x v="1"/>
    <n v="399"/>
    <x v="42"/>
  </r>
  <r>
    <s v="P00159"/>
    <x v="7"/>
    <x v="11"/>
    <x v="4"/>
    <x v="4"/>
    <x v="0"/>
    <x v="0"/>
    <x v="23"/>
    <n v="64"/>
    <n v="6.2"/>
    <s v="A15"/>
    <x v="0"/>
    <s v="Silver"/>
    <x v="1"/>
    <x v="7"/>
    <x v="0"/>
    <n v="899"/>
    <x v="122"/>
  </r>
  <r>
    <s v="P00160"/>
    <x v="4"/>
    <x v="4"/>
    <x v="0"/>
    <x v="0"/>
    <x v="3"/>
    <x v="0"/>
    <x v="11"/>
    <n v="64"/>
    <n v="6.67"/>
    <s v="Dimensity 7200"/>
    <x v="3"/>
    <s v="Black"/>
    <x v="1"/>
    <x v="4"/>
    <x v="0"/>
    <n v="549"/>
    <x v="48"/>
  </r>
  <r>
    <s v="P00161"/>
    <x v="7"/>
    <x v="13"/>
    <x v="4"/>
    <x v="4"/>
    <x v="2"/>
    <x v="0"/>
    <x v="10"/>
    <n v="48"/>
    <n v="6.78"/>
    <s v="A14"/>
    <x v="0"/>
    <s v="White"/>
    <x v="0"/>
    <x v="7"/>
    <x v="0"/>
    <n v="699"/>
    <x v="71"/>
  </r>
  <r>
    <s v="P00162"/>
    <x v="2"/>
    <x v="2"/>
    <x v="4"/>
    <x v="4"/>
    <x v="0"/>
    <x v="0"/>
    <x v="6"/>
    <n v="50"/>
    <n v="6.1"/>
    <s v="Dimensity 8020"/>
    <x v="3"/>
    <s v="Silver"/>
    <x v="0"/>
    <x v="6"/>
    <x v="1"/>
    <n v="599"/>
    <x v="123"/>
  </r>
  <r>
    <s v="P00163"/>
    <x v="1"/>
    <x v="1"/>
    <x v="3"/>
    <x v="3"/>
    <x v="3"/>
    <x v="2"/>
    <x v="3"/>
    <n v="12"/>
    <n v="6.7"/>
    <s v="Tensor G2"/>
    <x v="1"/>
    <s v="Blue"/>
    <x v="1"/>
    <x v="5"/>
    <x v="0"/>
    <n v="599"/>
    <x v="124"/>
  </r>
  <r>
    <s v="P00164"/>
    <x v="7"/>
    <x v="11"/>
    <x v="3"/>
    <x v="3"/>
    <x v="1"/>
    <x v="3"/>
    <x v="20"/>
    <n v="64"/>
    <n v="6.78"/>
    <s v="A15"/>
    <x v="3"/>
    <s v="Blue"/>
    <x v="1"/>
    <x v="3"/>
    <x v="0"/>
    <n v="899"/>
    <x v="125"/>
  </r>
  <r>
    <s v="P00165"/>
    <x v="1"/>
    <x v="1"/>
    <x v="2"/>
    <x v="2"/>
    <x v="3"/>
    <x v="2"/>
    <x v="16"/>
    <n v="48"/>
    <n v="6.1"/>
    <s v="Tensor G2"/>
    <x v="3"/>
    <s v="Green"/>
    <x v="1"/>
    <x v="7"/>
    <x v="0"/>
    <n v="599"/>
    <x v="126"/>
  </r>
  <r>
    <s v="P00166"/>
    <x v="0"/>
    <x v="0"/>
    <x v="2"/>
    <x v="2"/>
    <x v="0"/>
    <x v="0"/>
    <x v="14"/>
    <n v="108"/>
    <n v="6.7"/>
    <s v="Dimensity 8100"/>
    <x v="2"/>
    <s v="Black"/>
    <x v="0"/>
    <x v="7"/>
    <x v="1"/>
    <n v="599"/>
    <x v="127"/>
  </r>
  <r>
    <s v="P00167"/>
    <x v="2"/>
    <x v="2"/>
    <x v="0"/>
    <x v="0"/>
    <x v="3"/>
    <x v="2"/>
    <x v="13"/>
    <n v="12"/>
    <n v="6.7"/>
    <s v="Dimensity 8020"/>
    <x v="0"/>
    <s v="Blue"/>
    <x v="1"/>
    <x v="4"/>
    <x v="1"/>
    <n v="599"/>
    <x v="128"/>
  </r>
  <r>
    <s v="P00168"/>
    <x v="9"/>
    <x v="10"/>
    <x v="3"/>
    <x v="3"/>
    <x v="2"/>
    <x v="2"/>
    <x v="4"/>
    <n v="12"/>
    <n v="6.4"/>
    <s v="Exynos 1380"/>
    <x v="2"/>
    <s v="Blue"/>
    <x v="1"/>
    <x v="1"/>
    <x v="0"/>
    <n v="449"/>
    <x v="129"/>
  </r>
  <r>
    <s v="P00169"/>
    <x v="4"/>
    <x v="4"/>
    <x v="0"/>
    <x v="0"/>
    <x v="1"/>
    <x v="3"/>
    <x v="8"/>
    <n v="50"/>
    <n v="6.7"/>
    <s v="Dimensity 7200"/>
    <x v="3"/>
    <s v="Black"/>
    <x v="1"/>
    <x v="4"/>
    <x v="1"/>
    <n v="549"/>
    <x v="72"/>
  </r>
  <r>
    <s v="P00170"/>
    <x v="5"/>
    <x v="5"/>
    <x v="1"/>
    <x v="1"/>
    <x v="3"/>
    <x v="2"/>
    <x v="14"/>
    <n v="48"/>
    <n v="6.67"/>
    <s v="Dimensity 1300"/>
    <x v="0"/>
    <s v="Silver"/>
    <x v="1"/>
    <x v="0"/>
    <x v="0"/>
    <n v="499"/>
    <x v="130"/>
  </r>
  <r>
    <s v="P00171"/>
    <x v="9"/>
    <x v="12"/>
    <x v="0"/>
    <x v="0"/>
    <x v="0"/>
    <x v="3"/>
    <x v="14"/>
    <n v="48"/>
    <n v="6.5"/>
    <s v="Snapdragon 8 Gen 1"/>
    <x v="1"/>
    <s v="Blue"/>
    <x v="0"/>
    <x v="7"/>
    <x v="1"/>
    <n v="999"/>
    <x v="131"/>
  </r>
  <r>
    <s v="P00172"/>
    <x v="0"/>
    <x v="0"/>
    <x v="1"/>
    <x v="1"/>
    <x v="3"/>
    <x v="0"/>
    <x v="25"/>
    <n v="108"/>
    <n v="6.5"/>
    <s v="Dimensity 8100"/>
    <x v="3"/>
    <s v="Purple"/>
    <x v="0"/>
    <x v="1"/>
    <x v="1"/>
    <n v="599"/>
    <x v="123"/>
  </r>
  <r>
    <s v="P00173"/>
    <x v="4"/>
    <x v="4"/>
    <x v="1"/>
    <x v="1"/>
    <x v="0"/>
    <x v="2"/>
    <x v="2"/>
    <n v="48"/>
    <n v="6.7"/>
    <s v="Dimensity 7200"/>
    <x v="3"/>
    <s v="Purple"/>
    <x v="0"/>
    <x v="4"/>
    <x v="0"/>
    <n v="549"/>
    <x v="132"/>
  </r>
  <r>
    <s v="P00174"/>
    <x v="3"/>
    <x v="3"/>
    <x v="0"/>
    <x v="0"/>
    <x v="1"/>
    <x v="1"/>
    <x v="10"/>
    <n v="12"/>
    <n v="6.67"/>
    <s v="Snapdragon 8 Gen2"/>
    <x v="3"/>
    <s v="Green"/>
    <x v="0"/>
    <x v="0"/>
    <x v="1"/>
    <n v="799"/>
    <x v="133"/>
  </r>
  <r>
    <s v="P00175"/>
    <x v="5"/>
    <x v="5"/>
    <x v="3"/>
    <x v="3"/>
    <x v="2"/>
    <x v="0"/>
    <x v="0"/>
    <n v="50"/>
    <n v="6.5"/>
    <s v="Dimensity 1300"/>
    <x v="3"/>
    <s v="Black"/>
    <x v="1"/>
    <x v="4"/>
    <x v="0"/>
    <n v="499"/>
    <x v="134"/>
  </r>
  <r>
    <s v="P00176"/>
    <x v="7"/>
    <x v="7"/>
    <x v="1"/>
    <x v="1"/>
    <x v="1"/>
    <x v="2"/>
    <x v="9"/>
    <n v="50"/>
    <n v="6.7"/>
    <s v="A15"/>
    <x v="0"/>
    <s v="Purple"/>
    <x v="0"/>
    <x v="4"/>
    <x v="1"/>
    <n v="799"/>
    <x v="135"/>
  </r>
  <r>
    <s v="P00177"/>
    <x v="5"/>
    <x v="5"/>
    <x v="2"/>
    <x v="2"/>
    <x v="2"/>
    <x v="1"/>
    <x v="18"/>
    <n v="64"/>
    <n v="6.67"/>
    <s v="Dimensity 1300"/>
    <x v="3"/>
    <s v="Black"/>
    <x v="0"/>
    <x v="3"/>
    <x v="0"/>
    <n v="499"/>
    <x v="136"/>
  </r>
  <r>
    <s v="P00178"/>
    <x v="7"/>
    <x v="7"/>
    <x v="0"/>
    <x v="0"/>
    <x v="3"/>
    <x v="0"/>
    <x v="20"/>
    <n v="108"/>
    <n v="6.78"/>
    <s v="A15"/>
    <x v="0"/>
    <s v="Green"/>
    <x v="1"/>
    <x v="7"/>
    <x v="1"/>
    <n v="799"/>
    <x v="34"/>
  </r>
  <r>
    <s v="P00179"/>
    <x v="4"/>
    <x v="4"/>
    <x v="1"/>
    <x v="1"/>
    <x v="3"/>
    <x v="0"/>
    <x v="6"/>
    <n v="108"/>
    <n v="6.7"/>
    <s v="Dimensity 7200"/>
    <x v="0"/>
    <s v="Silver"/>
    <x v="0"/>
    <x v="3"/>
    <x v="0"/>
    <n v="549"/>
    <x v="88"/>
  </r>
  <r>
    <s v="P00180"/>
    <x v="2"/>
    <x v="2"/>
    <x v="2"/>
    <x v="2"/>
    <x v="0"/>
    <x v="0"/>
    <x v="1"/>
    <n v="50"/>
    <n v="6.78"/>
    <s v="Dimensity 8020"/>
    <x v="0"/>
    <s v="Black"/>
    <x v="1"/>
    <x v="4"/>
    <x v="0"/>
    <n v="599"/>
    <x v="137"/>
  </r>
  <r>
    <s v="P00181"/>
    <x v="9"/>
    <x v="12"/>
    <x v="0"/>
    <x v="0"/>
    <x v="1"/>
    <x v="2"/>
    <x v="1"/>
    <n v="48"/>
    <n v="6.7"/>
    <s v="Snapdragon 8 Gen 1"/>
    <x v="2"/>
    <s v="Green"/>
    <x v="0"/>
    <x v="7"/>
    <x v="0"/>
    <n v="999"/>
    <x v="138"/>
  </r>
  <r>
    <s v="P00182"/>
    <x v="9"/>
    <x v="12"/>
    <x v="0"/>
    <x v="0"/>
    <x v="1"/>
    <x v="0"/>
    <x v="20"/>
    <n v="48"/>
    <n v="6.2"/>
    <s v="Snapdragon 8 Gen 1"/>
    <x v="1"/>
    <s v="Green"/>
    <x v="1"/>
    <x v="0"/>
    <x v="1"/>
    <n v="999"/>
    <x v="139"/>
  </r>
  <r>
    <s v="P00183"/>
    <x v="0"/>
    <x v="0"/>
    <x v="4"/>
    <x v="4"/>
    <x v="3"/>
    <x v="3"/>
    <x v="15"/>
    <n v="12"/>
    <n v="6.67"/>
    <s v="Dimensity 8100"/>
    <x v="1"/>
    <s v="Green"/>
    <x v="0"/>
    <x v="5"/>
    <x v="1"/>
    <n v="599"/>
    <x v="1"/>
  </r>
  <r>
    <s v="P00184"/>
    <x v="8"/>
    <x v="8"/>
    <x v="4"/>
    <x v="4"/>
    <x v="2"/>
    <x v="1"/>
    <x v="8"/>
    <n v="12"/>
    <n v="6.2"/>
    <s v="Kirin 9000"/>
    <x v="0"/>
    <s v="Blue"/>
    <x v="1"/>
    <x v="4"/>
    <x v="1"/>
    <n v="699"/>
    <x v="12"/>
  </r>
  <r>
    <s v="P00185"/>
    <x v="9"/>
    <x v="12"/>
    <x v="4"/>
    <x v="4"/>
    <x v="1"/>
    <x v="3"/>
    <x v="0"/>
    <n v="108"/>
    <n v="6.2"/>
    <s v="Snapdragon 8 Gen 1"/>
    <x v="3"/>
    <s v="Green"/>
    <x v="0"/>
    <x v="5"/>
    <x v="1"/>
    <n v="999"/>
    <x v="140"/>
  </r>
  <r>
    <s v="P00186"/>
    <x v="0"/>
    <x v="0"/>
    <x v="0"/>
    <x v="0"/>
    <x v="0"/>
    <x v="3"/>
    <x v="15"/>
    <n v="64"/>
    <n v="6.67"/>
    <s v="Dimensity 8100"/>
    <x v="2"/>
    <s v="Black"/>
    <x v="1"/>
    <x v="7"/>
    <x v="1"/>
    <n v="599"/>
    <x v="141"/>
  </r>
  <r>
    <s v="P00187"/>
    <x v="2"/>
    <x v="2"/>
    <x v="0"/>
    <x v="0"/>
    <x v="3"/>
    <x v="1"/>
    <x v="25"/>
    <n v="50"/>
    <n v="6.78"/>
    <s v="Dimensity 8020"/>
    <x v="0"/>
    <s v="Purple"/>
    <x v="1"/>
    <x v="3"/>
    <x v="0"/>
    <n v="599"/>
    <x v="142"/>
  </r>
  <r>
    <s v="P00188"/>
    <x v="8"/>
    <x v="8"/>
    <x v="0"/>
    <x v="0"/>
    <x v="1"/>
    <x v="2"/>
    <x v="18"/>
    <n v="64"/>
    <n v="6.4"/>
    <s v="Kirin 9000"/>
    <x v="0"/>
    <s v="Blue"/>
    <x v="0"/>
    <x v="7"/>
    <x v="0"/>
    <n v="699"/>
    <x v="143"/>
  </r>
  <r>
    <s v="P00189"/>
    <x v="3"/>
    <x v="3"/>
    <x v="3"/>
    <x v="3"/>
    <x v="2"/>
    <x v="0"/>
    <x v="21"/>
    <n v="48"/>
    <n v="6.1"/>
    <s v="Snapdragon 8 Gen2"/>
    <x v="2"/>
    <s v="Blue"/>
    <x v="0"/>
    <x v="2"/>
    <x v="0"/>
    <n v="799"/>
    <x v="83"/>
  </r>
  <r>
    <s v="P00190"/>
    <x v="0"/>
    <x v="0"/>
    <x v="1"/>
    <x v="1"/>
    <x v="0"/>
    <x v="3"/>
    <x v="19"/>
    <n v="50"/>
    <n v="6.67"/>
    <s v="Dimensity 8100"/>
    <x v="3"/>
    <s v="White"/>
    <x v="1"/>
    <x v="7"/>
    <x v="0"/>
    <n v="599"/>
    <x v="144"/>
  </r>
  <r>
    <s v="P00191"/>
    <x v="9"/>
    <x v="12"/>
    <x v="1"/>
    <x v="1"/>
    <x v="1"/>
    <x v="1"/>
    <x v="25"/>
    <n v="108"/>
    <n v="6.5"/>
    <s v="Snapdragon 8 Gen 1"/>
    <x v="3"/>
    <s v="Purple"/>
    <x v="1"/>
    <x v="4"/>
    <x v="1"/>
    <n v="999"/>
    <x v="145"/>
  </r>
  <r>
    <s v="P00192"/>
    <x v="6"/>
    <x v="9"/>
    <x v="2"/>
    <x v="2"/>
    <x v="2"/>
    <x v="0"/>
    <x v="6"/>
    <n v="50"/>
    <n v="6.2"/>
    <s v="Snapdragon 680"/>
    <x v="0"/>
    <s v="Green"/>
    <x v="1"/>
    <x v="7"/>
    <x v="0"/>
    <n v="299"/>
    <x v="146"/>
  </r>
  <r>
    <s v="P00193"/>
    <x v="1"/>
    <x v="1"/>
    <x v="2"/>
    <x v="2"/>
    <x v="1"/>
    <x v="0"/>
    <x v="21"/>
    <n v="108"/>
    <n v="6.67"/>
    <s v="Tensor G2"/>
    <x v="1"/>
    <s v="Black"/>
    <x v="1"/>
    <x v="3"/>
    <x v="0"/>
    <n v="599"/>
    <x v="147"/>
  </r>
  <r>
    <s v="P00194"/>
    <x v="9"/>
    <x v="12"/>
    <x v="3"/>
    <x v="3"/>
    <x v="3"/>
    <x v="2"/>
    <x v="21"/>
    <n v="64"/>
    <n v="6.78"/>
    <s v="Snapdragon 8 Gen 1"/>
    <x v="0"/>
    <s v="Silver"/>
    <x v="1"/>
    <x v="3"/>
    <x v="1"/>
    <n v="999"/>
    <x v="148"/>
  </r>
  <r>
    <s v="P00195"/>
    <x v="7"/>
    <x v="13"/>
    <x v="3"/>
    <x v="3"/>
    <x v="0"/>
    <x v="3"/>
    <x v="9"/>
    <n v="48"/>
    <n v="6.7"/>
    <s v="A14"/>
    <x v="2"/>
    <s v="White"/>
    <x v="1"/>
    <x v="0"/>
    <x v="0"/>
    <n v="699"/>
    <x v="149"/>
  </r>
  <r>
    <s v="P00196"/>
    <x v="0"/>
    <x v="0"/>
    <x v="0"/>
    <x v="0"/>
    <x v="0"/>
    <x v="0"/>
    <x v="0"/>
    <n v="108"/>
    <n v="6.67"/>
    <s v="Dimensity 8100"/>
    <x v="1"/>
    <s v="White"/>
    <x v="0"/>
    <x v="6"/>
    <x v="0"/>
    <n v="599"/>
    <x v="1"/>
  </r>
  <r>
    <s v="P00197"/>
    <x v="5"/>
    <x v="5"/>
    <x v="0"/>
    <x v="0"/>
    <x v="2"/>
    <x v="0"/>
    <x v="19"/>
    <n v="108"/>
    <n v="6.1"/>
    <s v="Dimensity 1300"/>
    <x v="1"/>
    <s v="Purple"/>
    <x v="0"/>
    <x v="7"/>
    <x v="1"/>
    <n v="499"/>
    <x v="150"/>
  </r>
  <r>
    <s v="P00198"/>
    <x v="2"/>
    <x v="2"/>
    <x v="3"/>
    <x v="3"/>
    <x v="3"/>
    <x v="1"/>
    <x v="15"/>
    <n v="64"/>
    <n v="6.2"/>
    <s v="Dimensity 8020"/>
    <x v="1"/>
    <s v="Purple"/>
    <x v="0"/>
    <x v="5"/>
    <x v="0"/>
    <n v="599"/>
    <x v="1"/>
  </r>
  <r>
    <s v="P00199"/>
    <x v="8"/>
    <x v="8"/>
    <x v="1"/>
    <x v="1"/>
    <x v="3"/>
    <x v="0"/>
    <x v="11"/>
    <n v="108"/>
    <n v="6.2"/>
    <s v="Kirin 9000"/>
    <x v="0"/>
    <s v="Blue"/>
    <x v="0"/>
    <x v="3"/>
    <x v="0"/>
    <n v="699"/>
    <x v="151"/>
  </r>
  <r>
    <s v="P00200"/>
    <x v="2"/>
    <x v="2"/>
    <x v="0"/>
    <x v="0"/>
    <x v="0"/>
    <x v="3"/>
    <x v="14"/>
    <n v="108"/>
    <n v="6.67"/>
    <s v="Dimensity 8020"/>
    <x v="2"/>
    <s v="Black"/>
    <x v="0"/>
    <x v="5"/>
    <x v="0"/>
    <n v="599"/>
    <x v="152"/>
  </r>
  <r>
    <s v="P00201"/>
    <x v="3"/>
    <x v="3"/>
    <x v="3"/>
    <x v="3"/>
    <x v="1"/>
    <x v="3"/>
    <x v="22"/>
    <n v="50"/>
    <n v="6.5"/>
    <s v="Snapdragon 8 Gen2"/>
    <x v="1"/>
    <s v="Green"/>
    <x v="0"/>
    <x v="6"/>
    <x v="0"/>
    <n v="799"/>
    <x v="153"/>
  </r>
  <r>
    <s v="P00202"/>
    <x v="2"/>
    <x v="2"/>
    <x v="1"/>
    <x v="1"/>
    <x v="3"/>
    <x v="3"/>
    <x v="19"/>
    <n v="108"/>
    <n v="6.67"/>
    <s v="Dimensity 8020"/>
    <x v="2"/>
    <s v="Silver"/>
    <x v="1"/>
    <x v="5"/>
    <x v="1"/>
    <n v="599"/>
    <x v="154"/>
  </r>
  <r>
    <s v="P00203"/>
    <x v="9"/>
    <x v="10"/>
    <x v="1"/>
    <x v="1"/>
    <x v="0"/>
    <x v="0"/>
    <x v="10"/>
    <n v="108"/>
    <n v="6.4"/>
    <s v="Exynos 1380"/>
    <x v="3"/>
    <s v="Purple"/>
    <x v="0"/>
    <x v="2"/>
    <x v="0"/>
    <n v="449"/>
    <x v="155"/>
  </r>
  <r>
    <s v="P00204"/>
    <x v="3"/>
    <x v="3"/>
    <x v="3"/>
    <x v="3"/>
    <x v="1"/>
    <x v="2"/>
    <x v="10"/>
    <n v="108"/>
    <n v="6.78"/>
    <s v="Snapdragon 8 Gen2"/>
    <x v="3"/>
    <s v="Black"/>
    <x v="0"/>
    <x v="1"/>
    <x v="0"/>
    <n v="799"/>
    <x v="156"/>
  </r>
  <r>
    <s v="P00205"/>
    <x v="5"/>
    <x v="5"/>
    <x v="4"/>
    <x v="4"/>
    <x v="3"/>
    <x v="2"/>
    <x v="24"/>
    <n v="12"/>
    <n v="6.78"/>
    <s v="Dimensity 1300"/>
    <x v="0"/>
    <s v="Silver"/>
    <x v="1"/>
    <x v="5"/>
    <x v="0"/>
    <n v="499"/>
    <x v="108"/>
  </r>
  <r>
    <s v="P00206"/>
    <x v="1"/>
    <x v="1"/>
    <x v="4"/>
    <x v="4"/>
    <x v="3"/>
    <x v="3"/>
    <x v="14"/>
    <n v="64"/>
    <n v="6.7"/>
    <s v="Tensor G2"/>
    <x v="2"/>
    <s v="Purple"/>
    <x v="0"/>
    <x v="1"/>
    <x v="1"/>
    <n v="599"/>
    <x v="152"/>
  </r>
  <r>
    <s v="P00207"/>
    <x v="1"/>
    <x v="1"/>
    <x v="2"/>
    <x v="2"/>
    <x v="0"/>
    <x v="2"/>
    <x v="9"/>
    <n v="12"/>
    <n v="6.5"/>
    <s v="Tensor G2"/>
    <x v="0"/>
    <s v="Green"/>
    <x v="1"/>
    <x v="3"/>
    <x v="1"/>
    <n v="599"/>
    <x v="92"/>
  </r>
  <r>
    <s v="P00208"/>
    <x v="5"/>
    <x v="5"/>
    <x v="0"/>
    <x v="0"/>
    <x v="1"/>
    <x v="0"/>
    <x v="3"/>
    <n v="48"/>
    <n v="6.2"/>
    <s v="Dimensity 1300"/>
    <x v="0"/>
    <s v="Green"/>
    <x v="0"/>
    <x v="6"/>
    <x v="1"/>
    <n v="499"/>
    <x v="35"/>
  </r>
  <r>
    <s v="P00209"/>
    <x v="4"/>
    <x v="4"/>
    <x v="3"/>
    <x v="3"/>
    <x v="0"/>
    <x v="1"/>
    <x v="14"/>
    <n v="50"/>
    <n v="6.2"/>
    <s v="Dimensity 7200"/>
    <x v="3"/>
    <s v="Black"/>
    <x v="1"/>
    <x v="7"/>
    <x v="0"/>
    <n v="549"/>
    <x v="9"/>
  </r>
  <r>
    <s v="P00210"/>
    <x v="5"/>
    <x v="5"/>
    <x v="0"/>
    <x v="0"/>
    <x v="1"/>
    <x v="0"/>
    <x v="7"/>
    <n v="48"/>
    <n v="6.1"/>
    <s v="Dimensity 1300"/>
    <x v="1"/>
    <s v="Purple"/>
    <x v="0"/>
    <x v="4"/>
    <x v="1"/>
    <n v="499"/>
    <x v="16"/>
  </r>
  <r>
    <s v="P00211"/>
    <x v="1"/>
    <x v="1"/>
    <x v="0"/>
    <x v="0"/>
    <x v="3"/>
    <x v="0"/>
    <x v="7"/>
    <n v="64"/>
    <n v="6.78"/>
    <s v="Tensor G2"/>
    <x v="0"/>
    <s v="Green"/>
    <x v="1"/>
    <x v="6"/>
    <x v="0"/>
    <n v="599"/>
    <x v="157"/>
  </r>
  <r>
    <s v="P00212"/>
    <x v="8"/>
    <x v="8"/>
    <x v="4"/>
    <x v="4"/>
    <x v="0"/>
    <x v="2"/>
    <x v="23"/>
    <n v="48"/>
    <n v="6.5"/>
    <s v="Kirin 9000"/>
    <x v="0"/>
    <s v="Purple"/>
    <x v="0"/>
    <x v="3"/>
    <x v="0"/>
    <n v="699"/>
    <x v="158"/>
  </r>
  <r>
    <s v="P00213"/>
    <x v="5"/>
    <x v="5"/>
    <x v="3"/>
    <x v="3"/>
    <x v="3"/>
    <x v="0"/>
    <x v="24"/>
    <n v="64"/>
    <n v="6.4"/>
    <s v="Dimensity 1300"/>
    <x v="3"/>
    <s v="Purple"/>
    <x v="1"/>
    <x v="2"/>
    <x v="0"/>
    <n v="499"/>
    <x v="44"/>
  </r>
  <r>
    <s v="P00214"/>
    <x v="2"/>
    <x v="2"/>
    <x v="4"/>
    <x v="4"/>
    <x v="3"/>
    <x v="2"/>
    <x v="11"/>
    <n v="64"/>
    <n v="6.7"/>
    <s v="Dimensity 8020"/>
    <x v="3"/>
    <s v="Black"/>
    <x v="0"/>
    <x v="4"/>
    <x v="1"/>
    <n v="599"/>
    <x v="159"/>
  </r>
  <r>
    <s v="P00215"/>
    <x v="9"/>
    <x v="10"/>
    <x v="2"/>
    <x v="2"/>
    <x v="1"/>
    <x v="2"/>
    <x v="0"/>
    <n v="12"/>
    <n v="6.78"/>
    <s v="Exynos 1380"/>
    <x v="0"/>
    <s v="Black"/>
    <x v="1"/>
    <x v="3"/>
    <x v="0"/>
    <n v="449"/>
    <x v="160"/>
  </r>
  <r>
    <s v="P00216"/>
    <x v="4"/>
    <x v="4"/>
    <x v="4"/>
    <x v="4"/>
    <x v="1"/>
    <x v="1"/>
    <x v="1"/>
    <n v="12"/>
    <n v="6.7"/>
    <s v="Dimensity 7200"/>
    <x v="3"/>
    <s v="White"/>
    <x v="1"/>
    <x v="3"/>
    <x v="0"/>
    <n v="549"/>
    <x v="9"/>
  </r>
  <r>
    <s v="P00217"/>
    <x v="5"/>
    <x v="5"/>
    <x v="4"/>
    <x v="4"/>
    <x v="3"/>
    <x v="0"/>
    <x v="12"/>
    <n v="64"/>
    <n v="6.2"/>
    <s v="Dimensity 1300"/>
    <x v="3"/>
    <s v="Silver"/>
    <x v="0"/>
    <x v="0"/>
    <x v="1"/>
    <n v="499"/>
    <x v="86"/>
  </r>
  <r>
    <s v="P00218"/>
    <x v="2"/>
    <x v="2"/>
    <x v="3"/>
    <x v="3"/>
    <x v="1"/>
    <x v="0"/>
    <x v="25"/>
    <n v="12"/>
    <n v="6.1"/>
    <s v="Dimensity 8020"/>
    <x v="1"/>
    <s v="Purple"/>
    <x v="1"/>
    <x v="2"/>
    <x v="1"/>
    <n v="599"/>
    <x v="161"/>
  </r>
  <r>
    <s v="P00219"/>
    <x v="0"/>
    <x v="0"/>
    <x v="4"/>
    <x v="4"/>
    <x v="2"/>
    <x v="1"/>
    <x v="22"/>
    <n v="64"/>
    <n v="6.5"/>
    <s v="Dimensity 8100"/>
    <x v="3"/>
    <s v="Black"/>
    <x v="0"/>
    <x v="2"/>
    <x v="1"/>
    <n v="599"/>
    <x v="144"/>
  </r>
  <r>
    <s v="P00220"/>
    <x v="0"/>
    <x v="0"/>
    <x v="4"/>
    <x v="4"/>
    <x v="3"/>
    <x v="2"/>
    <x v="20"/>
    <n v="12"/>
    <n v="6.4"/>
    <s v="Dimensity 8100"/>
    <x v="3"/>
    <s v="Black"/>
    <x v="0"/>
    <x v="6"/>
    <x v="0"/>
    <n v="599"/>
    <x v="143"/>
  </r>
  <r>
    <s v="P00221"/>
    <x v="3"/>
    <x v="3"/>
    <x v="3"/>
    <x v="3"/>
    <x v="3"/>
    <x v="2"/>
    <x v="11"/>
    <n v="12"/>
    <n v="6.2"/>
    <s v="Snapdragon 8 Gen2"/>
    <x v="3"/>
    <s v="Blue"/>
    <x v="0"/>
    <x v="5"/>
    <x v="1"/>
    <n v="799"/>
    <x v="162"/>
  </r>
  <r>
    <s v="P00222"/>
    <x v="6"/>
    <x v="9"/>
    <x v="4"/>
    <x v="4"/>
    <x v="2"/>
    <x v="2"/>
    <x v="8"/>
    <n v="108"/>
    <n v="6.67"/>
    <s v="Snapdragon 680"/>
    <x v="3"/>
    <s v="Blue"/>
    <x v="0"/>
    <x v="7"/>
    <x v="1"/>
    <n v="299"/>
    <x v="22"/>
  </r>
  <r>
    <s v="P00223"/>
    <x v="1"/>
    <x v="1"/>
    <x v="1"/>
    <x v="1"/>
    <x v="3"/>
    <x v="3"/>
    <x v="0"/>
    <n v="12"/>
    <n v="6.1"/>
    <s v="Tensor G2"/>
    <x v="0"/>
    <s v="Purple"/>
    <x v="0"/>
    <x v="4"/>
    <x v="0"/>
    <n v="599"/>
    <x v="163"/>
  </r>
  <r>
    <s v="P00224"/>
    <x v="9"/>
    <x v="12"/>
    <x v="1"/>
    <x v="1"/>
    <x v="1"/>
    <x v="0"/>
    <x v="21"/>
    <n v="50"/>
    <n v="6.4"/>
    <s v="Snapdragon 8 Gen 1"/>
    <x v="3"/>
    <s v="Black"/>
    <x v="1"/>
    <x v="1"/>
    <x v="0"/>
    <n v="999"/>
    <x v="164"/>
  </r>
  <r>
    <s v="P00225"/>
    <x v="5"/>
    <x v="5"/>
    <x v="0"/>
    <x v="0"/>
    <x v="3"/>
    <x v="2"/>
    <x v="1"/>
    <n v="50"/>
    <n v="6.4"/>
    <s v="Dimensity 1300"/>
    <x v="2"/>
    <s v="Purple"/>
    <x v="0"/>
    <x v="2"/>
    <x v="0"/>
    <n v="499"/>
    <x v="165"/>
  </r>
  <r>
    <s v="P00226"/>
    <x v="6"/>
    <x v="6"/>
    <x v="4"/>
    <x v="4"/>
    <x v="0"/>
    <x v="2"/>
    <x v="1"/>
    <n v="12"/>
    <n v="6.4"/>
    <s v="Snapdragon 778G"/>
    <x v="0"/>
    <s v="Purple"/>
    <x v="0"/>
    <x v="3"/>
    <x v="0"/>
    <n v="399"/>
    <x v="160"/>
  </r>
  <r>
    <s v="P00227"/>
    <x v="4"/>
    <x v="4"/>
    <x v="2"/>
    <x v="2"/>
    <x v="2"/>
    <x v="0"/>
    <x v="12"/>
    <n v="50"/>
    <n v="6.67"/>
    <s v="Dimensity 7200"/>
    <x v="3"/>
    <s v="Silver"/>
    <x v="0"/>
    <x v="5"/>
    <x v="1"/>
    <n v="549"/>
    <x v="166"/>
  </r>
  <r>
    <s v="P00228"/>
    <x v="1"/>
    <x v="1"/>
    <x v="2"/>
    <x v="2"/>
    <x v="2"/>
    <x v="3"/>
    <x v="19"/>
    <n v="108"/>
    <n v="6.67"/>
    <s v="Tensor G2"/>
    <x v="1"/>
    <s v="Silver"/>
    <x v="0"/>
    <x v="4"/>
    <x v="1"/>
    <n v="599"/>
    <x v="1"/>
  </r>
  <r>
    <s v="P00229"/>
    <x v="1"/>
    <x v="1"/>
    <x v="1"/>
    <x v="1"/>
    <x v="0"/>
    <x v="0"/>
    <x v="11"/>
    <n v="64"/>
    <n v="6.2"/>
    <s v="Tensor G2"/>
    <x v="0"/>
    <s v="Silver"/>
    <x v="0"/>
    <x v="1"/>
    <x v="0"/>
    <n v="599"/>
    <x v="167"/>
  </r>
  <r>
    <s v="P00230"/>
    <x v="9"/>
    <x v="12"/>
    <x v="1"/>
    <x v="1"/>
    <x v="0"/>
    <x v="3"/>
    <x v="12"/>
    <n v="12"/>
    <n v="6.78"/>
    <s v="Snapdragon 8 Gen 1"/>
    <x v="0"/>
    <s v="Purple"/>
    <x v="0"/>
    <x v="7"/>
    <x v="1"/>
    <n v="999"/>
    <x v="168"/>
  </r>
  <r>
    <s v="P00231"/>
    <x v="2"/>
    <x v="2"/>
    <x v="4"/>
    <x v="4"/>
    <x v="1"/>
    <x v="2"/>
    <x v="11"/>
    <n v="50"/>
    <n v="6.5"/>
    <s v="Dimensity 8020"/>
    <x v="1"/>
    <s v="Black"/>
    <x v="1"/>
    <x v="2"/>
    <x v="0"/>
    <n v="599"/>
    <x v="169"/>
  </r>
  <r>
    <s v="P00232"/>
    <x v="4"/>
    <x v="4"/>
    <x v="1"/>
    <x v="1"/>
    <x v="0"/>
    <x v="2"/>
    <x v="24"/>
    <n v="64"/>
    <n v="6.7"/>
    <s v="Dimensity 7200"/>
    <x v="0"/>
    <s v="White"/>
    <x v="1"/>
    <x v="2"/>
    <x v="0"/>
    <n v="549"/>
    <x v="170"/>
  </r>
  <r>
    <s v="P00233"/>
    <x v="5"/>
    <x v="5"/>
    <x v="0"/>
    <x v="0"/>
    <x v="1"/>
    <x v="3"/>
    <x v="4"/>
    <n v="12"/>
    <n v="6.1"/>
    <s v="Dimensity 1300"/>
    <x v="0"/>
    <s v="Green"/>
    <x v="1"/>
    <x v="3"/>
    <x v="1"/>
    <n v="499"/>
    <x v="171"/>
  </r>
  <r>
    <s v="P00234"/>
    <x v="6"/>
    <x v="9"/>
    <x v="1"/>
    <x v="1"/>
    <x v="1"/>
    <x v="1"/>
    <x v="22"/>
    <n v="50"/>
    <n v="6.1"/>
    <s v="Snapdragon 680"/>
    <x v="0"/>
    <s v="Black"/>
    <x v="1"/>
    <x v="3"/>
    <x v="1"/>
    <n v="299"/>
    <x v="22"/>
  </r>
  <r>
    <s v="P00235"/>
    <x v="3"/>
    <x v="3"/>
    <x v="0"/>
    <x v="0"/>
    <x v="0"/>
    <x v="2"/>
    <x v="5"/>
    <n v="64"/>
    <n v="6.78"/>
    <s v="Snapdragon 8 Gen2"/>
    <x v="3"/>
    <s v="Black"/>
    <x v="1"/>
    <x v="1"/>
    <x v="1"/>
    <n v="799"/>
    <x v="172"/>
  </r>
  <r>
    <s v="P00236"/>
    <x v="3"/>
    <x v="3"/>
    <x v="1"/>
    <x v="1"/>
    <x v="0"/>
    <x v="0"/>
    <x v="20"/>
    <n v="64"/>
    <n v="6.7"/>
    <s v="Snapdragon 8 Gen2"/>
    <x v="0"/>
    <s v="Black"/>
    <x v="1"/>
    <x v="6"/>
    <x v="1"/>
    <n v="799"/>
    <x v="173"/>
  </r>
  <r>
    <s v="P00237"/>
    <x v="1"/>
    <x v="1"/>
    <x v="4"/>
    <x v="4"/>
    <x v="2"/>
    <x v="0"/>
    <x v="21"/>
    <n v="48"/>
    <n v="6.2"/>
    <s v="Tensor G2"/>
    <x v="3"/>
    <s v="Black"/>
    <x v="1"/>
    <x v="1"/>
    <x v="1"/>
    <n v="599"/>
    <x v="84"/>
  </r>
  <r>
    <s v="P00238"/>
    <x v="1"/>
    <x v="1"/>
    <x v="4"/>
    <x v="4"/>
    <x v="3"/>
    <x v="2"/>
    <x v="10"/>
    <n v="12"/>
    <n v="6.4"/>
    <s v="Tensor G2"/>
    <x v="0"/>
    <s v="Black"/>
    <x v="1"/>
    <x v="2"/>
    <x v="0"/>
    <n v="599"/>
    <x v="174"/>
  </r>
  <r>
    <s v="P00239"/>
    <x v="3"/>
    <x v="3"/>
    <x v="1"/>
    <x v="1"/>
    <x v="1"/>
    <x v="3"/>
    <x v="0"/>
    <n v="50"/>
    <n v="6.1"/>
    <s v="Snapdragon 8 Gen2"/>
    <x v="3"/>
    <s v="White"/>
    <x v="1"/>
    <x v="2"/>
    <x v="1"/>
    <n v="799"/>
    <x v="175"/>
  </r>
  <r>
    <s v="P00240"/>
    <x v="2"/>
    <x v="2"/>
    <x v="4"/>
    <x v="4"/>
    <x v="1"/>
    <x v="2"/>
    <x v="11"/>
    <n v="50"/>
    <n v="6.78"/>
    <s v="Dimensity 8020"/>
    <x v="0"/>
    <s v="Green"/>
    <x v="1"/>
    <x v="3"/>
    <x v="1"/>
    <n v="599"/>
    <x v="155"/>
  </r>
  <r>
    <s v="P00241"/>
    <x v="7"/>
    <x v="13"/>
    <x v="0"/>
    <x v="0"/>
    <x v="3"/>
    <x v="2"/>
    <x v="23"/>
    <n v="64"/>
    <n v="6.78"/>
    <s v="A14"/>
    <x v="0"/>
    <s v="Green"/>
    <x v="0"/>
    <x v="5"/>
    <x v="0"/>
    <n v="699"/>
    <x v="83"/>
  </r>
  <r>
    <s v="P00242"/>
    <x v="5"/>
    <x v="5"/>
    <x v="0"/>
    <x v="0"/>
    <x v="3"/>
    <x v="2"/>
    <x v="13"/>
    <n v="50"/>
    <n v="6.67"/>
    <s v="Dimensity 1300"/>
    <x v="1"/>
    <s v="White"/>
    <x v="1"/>
    <x v="2"/>
    <x v="1"/>
    <n v="499"/>
    <x v="16"/>
  </r>
  <r>
    <s v="P00243"/>
    <x v="1"/>
    <x v="1"/>
    <x v="3"/>
    <x v="3"/>
    <x v="2"/>
    <x v="3"/>
    <x v="8"/>
    <n v="12"/>
    <n v="6.2"/>
    <s v="Tensor G2"/>
    <x v="0"/>
    <s v="Purple"/>
    <x v="1"/>
    <x v="2"/>
    <x v="0"/>
    <n v="599"/>
    <x v="30"/>
  </r>
  <r>
    <s v="P00244"/>
    <x v="0"/>
    <x v="0"/>
    <x v="3"/>
    <x v="3"/>
    <x v="0"/>
    <x v="1"/>
    <x v="0"/>
    <n v="50"/>
    <n v="6.7"/>
    <s v="Dimensity 8100"/>
    <x v="0"/>
    <s v="White"/>
    <x v="0"/>
    <x v="6"/>
    <x v="1"/>
    <n v="599"/>
    <x v="176"/>
  </r>
  <r>
    <s v="P00245"/>
    <x v="4"/>
    <x v="4"/>
    <x v="3"/>
    <x v="3"/>
    <x v="2"/>
    <x v="1"/>
    <x v="5"/>
    <n v="64"/>
    <n v="6.78"/>
    <s v="Dimensity 7200"/>
    <x v="1"/>
    <s v="Silver"/>
    <x v="0"/>
    <x v="3"/>
    <x v="0"/>
    <n v="549"/>
    <x v="9"/>
  </r>
  <r>
    <s v="P00246"/>
    <x v="0"/>
    <x v="0"/>
    <x v="4"/>
    <x v="4"/>
    <x v="0"/>
    <x v="1"/>
    <x v="10"/>
    <n v="108"/>
    <n v="6.5"/>
    <s v="Dimensity 8100"/>
    <x v="3"/>
    <s v="Blue"/>
    <x v="1"/>
    <x v="0"/>
    <x v="1"/>
    <n v="599"/>
    <x v="1"/>
  </r>
  <r>
    <s v="P00247"/>
    <x v="8"/>
    <x v="8"/>
    <x v="4"/>
    <x v="4"/>
    <x v="2"/>
    <x v="3"/>
    <x v="0"/>
    <n v="64"/>
    <n v="6.78"/>
    <s v="Kirin 9000"/>
    <x v="3"/>
    <s v="Black"/>
    <x v="0"/>
    <x v="1"/>
    <x v="1"/>
    <n v="699"/>
    <x v="177"/>
  </r>
  <r>
    <s v="P00248"/>
    <x v="5"/>
    <x v="5"/>
    <x v="4"/>
    <x v="4"/>
    <x v="0"/>
    <x v="3"/>
    <x v="2"/>
    <n v="12"/>
    <n v="6.78"/>
    <s v="Dimensity 1300"/>
    <x v="3"/>
    <s v="Silver"/>
    <x v="1"/>
    <x v="5"/>
    <x v="1"/>
    <n v="499"/>
    <x v="16"/>
  </r>
  <r>
    <s v="P00249"/>
    <x v="8"/>
    <x v="8"/>
    <x v="0"/>
    <x v="0"/>
    <x v="1"/>
    <x v="0"/>
    <x v="7"/>
    <n v="108"/>
    <n v="6.1"/>
    <s v="Kirin 9000"/>
    <x v="3"/>
    <s v="Black"/>
    <x v="0"/>
    <x v="4"/>
    <x v="0"/>
    <n v="699"/>
    <x v="63"/>
  </r>
  <r>
    <s v="P00250"/>
    <x v="3"/>
    <x v="3"/>
    <x v="4"/>
    <x v="4"/>
    <x v="3"/>
    <x v="0"/>
    <x v="25"/>
    <n v="48"/>
    <n v="6.4"/>
    <s v="Snapdragon 8 Gen2"/>
    <x v="0"/>
    <s v="Green"/>
    <x v="1"/>
    <x v="2"/>
    <x v="0"/>
    <n v="799"/>
    <x v="178"/>
  </r>
  <r>
    <s v="P00251"/>
    <x v="1"/>
    <x v="1"/>
    <x v="0"/>
    <x v="0"/>
    <x v="0"/>
    <x v="0"/>
    <x v="24"/>
    <n v="64"/>
    <n v="6.5"/>
    <s v="Tensor G2"/>
    <x v="0"/>
    <s v="Blue"/>
    <x v="1"/>
    <x v="3"/>
    <x v="0"/>
    <n v="599"/>
    <x v="179"/>
  </r>
  <r>
    <s v="P00252"/>
    <x v="8"/>
    <x v="8"/>
    <x v="2"/>
    <x v="2"/>
    <x v="1"/>
    <x v="0"/>
    <x v="2"/>
    <n v="108"/>
    <n v="6.78"/>
    <s v="Kirin 9000"/>
    <x v="0"/>
    <s v="White"/>
    <x v="1"/>
    <x v="6"/>
    <x v="0"/>
    <n v="699"/>
    <x v="105"/>
  </r>
  <r>
    <s v="P00253"/>
    <x v="3"/>
    <x v="3"/>
    <x v="2"/>
    <x v="2"/>
    <x v="1"/>
    <x v="0"/>
    <x v="15"/>
    <n v="48"/>
    <n v="6.4"/>
    <s v="Snapdragon 8 Gen2"/>
    <x v="3"/>
    <s v="Purple"/>
    <x v="1"/>
    <x v="0"/>
    <x v="1"/>
    <n v="799"/>
    <x v="180"/>
  </r>
  <r>
    <s v="P00254"/>
    <x v="1"/>
    <x v="1"/>
    <x v="0"/>
    <x v="0"/>
    <x v="0"/>
    <x v="1"/>
    <x v="6"/>
    <n v="64"/>
    <n v="6.4"/>
    <s v="Tensor G2"/>
    <x v="3"/>
    <s v="Purple"/>
    <x v="0"/>
    <x v="0"/>
    <x v="0"/>
    <n v="599"/>
    <x v="1"/>
  </r>
  <r>
    <s v="P00255"/>
    <x v="8"/>
    <x v="8"/>
    <x v="2"/>
    <x v="2"/>
    <x v="1"/>
    <x v="3"/>
    <x v="7"/>
    <n v="108"/>
    <n v="6.78"/>
    <s v="Kirin 9000"/>
    <x v="3"/>
    <s v="Blue"/>
    <x v="1"/>
    <x v="2"/>
    <x v="1"/>
    <n v="699"/>
    <x v="106"/>
  </r>
  <r>
    <s v="P00256"/>
    <x v="7"/>
    <x v="11"/>
    <x v="1"/>
    <x v="1"/>
    <x v="2"/>
    <x v="3"/>
    <x v="24"/>
    <n v="108"/>
    <n v="6.2"/>
    <s v="A15"/>
    <x v="2"/>
    <s v="Blue"/>
    <x v="0"/>
    <x v="5"/>
    <x v="1"/>
    <n v="899"/>
    <x v="181"/>
  </r>
  <r>
    <s v="P00257"/>
    <x v="0"/>
    <x v="0"/>
    <x v="0"/>
    <x v="0"/>
    <x v="3"/>
    <x v="2"/>
    <x v="0"/>
    <n v="50"/>
    <n v="6.67"/>
    <s v="Dimensity 8100"/>
    <x v="2"/>
    <s v="Blue"/>
    <x v="0"/>
    <x v="0"/>
    <x v="0"/>
    <n v="599"/>
    <x v="182"/>
  </r>
  <r>
    <s v="P00258"/>
    <x v="0"/>
    <x v="0"/>
    <x v="0"/>
    <x v="0"/>
    <x v="1"/>
    <x v="0"/>
    <x v="23"/>
    <n v="64"/>
    <n v="6.7"/>
    <s v="Dimensity 8100"/>
    <x v="0"/>
    <s v="Green"/>
    <x v="0"/>
    <x v="5"/>
    <x v="1"/>
    <n v="599"/>
    <x v="17"/>
  </r>
  <r>
    <s v="P00259"/>
    <x v="1"/>
    <x v="1"/>
    <x v="1"/>
    <x v="1"/>
    <x v="0"/>
    <x v="2"/>
    <x v="4"/>
    <n v="48"/>
    <n v="6.4"/>
    <s v="Tensor G2"/>
    <x v="3"/>
    <s v="Silver"/>
    <x v="0"/>
    <x v="6"/>
    <x v="1"/>
    <n v="599"/>
    <x v="67"/>
  </r>
  <r>
    <s v="P00260"/>
    <x v="0"/>
    <x v="0"/>
    <x v="0"/>
    <x v="0"/>
    <x v="3"/>
    <x v="0"/>
    <x v="15"/>
    <n v="64"/>
    <n v="6.4"/>
    <s v="Dimensity 8100"/>
    <x v="3"/>
    <s v="White"/>
    <x v="1"/>
    <x v="0"/>
    <x v="1"/>
    <n v="599"/>
    <x v="183"/>
  </r>
  <r>
    <s v="P00261"/>
    <x v="9"/>
    <x v="10"/>
    <x v="1"/>
    <x v="1"/>
    <x v="2"/>
    <x v="2"/>
    <x v="7"/>
    <n v="48"/>
    <n v="6.1"/>
    <s v="Exynos 1380"/>
    <x v="3"/>
    <s v="Blue"/>
    <x v="1"/>
    <x v="0"/>
    <x v="0"/>
    <n v="449"/>
    <x v="88"/>
  </r>
  <r>
    <s v="P00262"/>
    <x v="8"/>
    <x v="8"/>
    <x v="4"/>
    <x v="4"/>
    <x v="0"/>
    <x v="0"/>
    <x v="20"/>
    <n v="50"/>
    <n v="6.2"/>
    <s v="Kirin 9000"/>
    <x v="0"/>
    <s v="Blue"/>
    <x v="1"/>
    <x v="7"/>
    <x v="0"/>
    <n v="699"/>
    <x v="184"/>
  </r>
  <r>
    <s v="P00263"/>
    <x v="2"/>
    <x v="2"/>
    <x v="1"/>
    <x v="1"/>
    <x v="2"/>
    <x v="2"/>
    <x v="22"/>
    <n v="50"/>
    <n v="6.78"/>
    <s v="Dimensity 8020"/>
    <x v="0"/>
    <s v="Green"/>
    <x v="1"/>
    <x v="0"/>
    <x v="0"/>
    <n v="599"/>
    <x v="185"/>
  </r>
  <r>
    <s v="P00264"/>
    <x v="1"/>
    <x v="1"/>
    <x v="1"/>
    <x v="1"/>
    <x v="0"/>
    <x v="2"/>
    <x v="5"/>
    <n v="64"/>
    <n v="6.78"/>
    <s v="Tensor G2"/>
    <x v="1"/>
    <s v="Green"/>
    <x v="0"/>
    <x v="5"/>
    <x v="0"/>
    <n v="599"/>
    <x v="186"/>
  </r>
  <r>
    <s v="P00265"/>
    <x v="1"/>
    <x v="1"/>
    <x v="1"/>
    <x v="1"/>
    <x v="3"/>
    <x v="0"/>
    <x v="15"/>
    <n v="48"/>
    <n v="6.2"/>
    <s v="Tensor G2"/>
    <x v="0"/>
    <s v="Green"/>
    <x v="1"/>
    <x v="5"/>
    <x v="0"/>
    <n v="599"/>
    <x v="71"/>
  </r>
  <r>
    <s v="P00266"/>
    <x v="0"/>
    <x v="0"/>
    <x v="2"/>
    <x v="2"/>
    <x v="3"/>
    <x v="3"/>
    <x v="25"/>
    <n v="108"/>
    <n v="6.1"/>
    <s v="Dimensity 8100"/>
    <x v="1"/>
    <s v="Green"/>
    <x v="0"/>
    <x v="0"/>
    <x v="1"/>
    <n v="599"/>
    <x v="1"/>
  </r>
  <r>
    <s v="P00267"/>
    <x v="3"/>
    <x v="3"/>
    <x v="0"/>
    <x v="0"/>
    <x v="1"/>
    <x v="0"/>
    <x v="5"/>
    <n v="108"/>
    <n v="6.2"/>
    <s v="Snapdragon 8 Gen2"/>
    <x v="2"/>
    <s v="Black"/>
    <x v="0"/>
    <x v="5"/>
    <x v="0"/>
    <n v="799"/>
    <x v="187"/>
  </r>
  <r>
    <s v="P00268"/>
    <x v="2"/>
    <x v="2"/>
    <x v="3"/>
    <x v="3"/>
    <x v="2"/>
    <x v="1"/>
    <x v="0"/>
    <n v="50"/>
    <n v="6.4"/>
    <s v="Dimensity 8020"/>
    <x v="0"/>
    <s v="White"/>
    <x v="0"/>
    <x v="6"/>
    <x v="1"/>
    <n v="599"/>
    <x v="50"/>
  </r>
  <r>
    <s v="P00269"/>
    <x v="9"/>
    <x v="10"/>
    <x v="4"/>
    <x v="4"/>
    <x v="1"/>
    <x v="2"/>
    <x v="3"/>
    <n v="12"/>
    <n v="6.7"/>
    <s v="Exynos 1380"/>
    <x v="3"/>
    <s v="Silver"/>
    <x v="1"/>
    <x v="6"/>
    <x v="0"/>
    <n v="449"/>
    <x v="188"/>
  </r>
  <r>
    <s v="P00270"/>
    <x v="8"/>
    <x v="8"/>
    <x v="0"/>
    <x v="0"/>
    <x v="1"/>
    <x v="1"/>
    <x v="15"/>
    <n v="48"/>
    <n v="6.67"/>
    <s v="Kirin 9000"/>
    <x v="3"/>
    <s v="Purple"/>
    <x v="1"/>
    <x v="3"/>
    <x v="1"/>
    <n v="699"/>
    <x v="172"/>
  </r>
  <r>
    <s v="P00271"/>
    <x v="3"/>
    <x v="3"/>
    <x v="2"/>
    <x v="2"/>
    <x v="3"/>
    <x v="1"/>
    <x v="18"/>
    <n v="108"/>
    <n v="6.2"/>
    <s v="Snapdragon 8 Gen2"/>
    <x v="3"/>
    <s v="Green"/>
    <x v="1"/>
    <x v="3"/>
    <x v="0"/>
    <n v="799"/>
    <x v="189"/>
  </r>
  <r>
    <s v="P00272"/>
    <x v="9"/>
    <x v="10"/>
    <x v="0"/>
    <x v="0"/>
    <x v="1"/>
    <x v="1"/>
    <x v="9"/>
    <n v="50"/>
    <n v="6.78"/>
    <s v="Exynos 1380"/>
    <x v="2"/>
    <s v="White"/>
    <x v="0"/>
    <x v="1"/>
    <x v="1"/>
    <n v="449"/>
    <x v="75"/>
  </r>
  <r>
    <s v="P00273"/>
    <x v="8"/>
    <x v="8"/>
    <x v="1"/>
    <x v="1"/>
    <x v="1"/>
    <x v="1"/>
    <x v="14"/>
    <n v="50"/>
    <n v="6.1"/>
    <s v="Kirin 9000"/>
    <x v="3"/>
    <s v="Green"/>
    <x v="0"/>
    <x v="2"/>
    <x v="1"/>
    <n v="699"/>
    <x v="190"/>
  </r>
  <r>
    <s v="P00274"/>
    <x v="7"/>
    <x v="7"/>
    <x v="2"/>
    <x v="2"/>
    <x v="1"/>
    <x v="2"/>
    <x v="0"/>
    <n v="64"/>
    <n v="6.1"/>
    <s v="A15"/>
    <x v="2"/>
    <s v="Purple"/>
    <x v="1"/>
    <x v="6"/>
    <x v="0"/>
    <n v="799"/>
    <x v="191"/>
  </r>
  <r>
    <s v="P00275"/>
    <x v="6"/>
    <x v="9"/>
    <x v="4"/>
    <x v="4"/>
    <x v="2"/>
    <x v="0"/>
    <x v="16"/>
    <n v="50"/>
    <n v="6.5"/>
    <s v="Snapdragon 680"/>
    <x v="0"/>
    <s v="White"/>
    <x v="1"/>
    <x v="0"/>
    <x v="0"/>
    <n v="299"/>
    <x v="192"/>
  </r>
  <r>
    <s v="P00276"/>
    <x v="7"/>
    <x v="11"/>
    <x v="3"/>
    <x v="3"/>
    <x v="2"/>
    <x v="1"/>
    <x v="17"/>
    <n v="108"/>
    <n v="6.7"/>
    <s v="A15"/>
    <x v="0"/>
    <s v="Purple"/>
    <x v="0"/>
    <x v="7"/>
    <x v="1"/>
    <n v="899"/>
    <x v="193"/>
  </r>
  <r>
    <s v="P00277"/>
    <x v="4"/>
    <x v="4"/>
    <x v="1"/>
    <x v="1"/>
    <x v="2"/>
    <x v="3"/>
    <x v="9"/>
    <n v="108"/>
    <n v="6.5"/>
    <s v="Dimensity 7200"/>
    <x v="3"/>
    <s v="Green"/>
    <x v="0"/>
    <x v="1"/>
    <x v="0"/>
    <n v="549"/>
    <x v="184"/>
  </r>
  <r>
    <s v="P00278"/>
    <x v="6"/>
    <x v="9"/>
    <x v="0"/>
    <x v="0"/>
    <x v="2"/>
    <x v="2"/>
    <x v="6"/>
    <n v="64"/>
    <n v="6.2"/>
    <s v="Snapdragon 680"/>
    <x v="0"/>
    <s v="Purple"/>
    <x v="0"/>
    <x v="1"/>
    <x v="0"/>
    <n v="299"/>
    <x v="194"/>
  </r>
  <r>
    <s v="P00279"/>
    <x v="8"/>
    <x v="8"/>
    <x v="3"/>
    <x v="3"/>
    <x v="1"/>
    <x v="2"/>
    <x v="17"/>
    <n v="64"/>
    <n v="6.2"/>
    <s v="Kirin 9000"/>
    <x v="0"/>
    <s v="Green"/>
    <x v="0"/>
    <x v="7"/>
    <x v="1"/>
    <n v="699"/>
    <x v="86"/>
  </r>
  <r>
    <s v="P00280"/>
    <x v="9"/>
    <x v="10"/>
    <x v="4"/>
    <x v="4"/>
    <x v="3"/>
    <x v="1"/>
    <x v="24"/>
    <n v="64"/>
    <n v="6.5"/>
    <s v="Exynos 1380"/>
    <x v="2"/>
    <s v="Silver"/>
    <x v="0"/>
    <x v="2"/>
    <x v="1"/>
    <n v="449"/>
    <x v="195"/>
  </r>
  <r>
    <s v="P00281"/>
    <x v="2"/>
    <x v="2"/>
    <x v="1"/>
    <x v="1"/>
    <x v="1"/>
    <x v="3"/>
    <x v="17"/>
    <n v="50"/>
    <n v="6.7"/>
    <s v="Dimensity 8020"/>
    <x v="3"/>
    <s v="White"/>
    <x v="0"/>
    <x v="1"/>
    <x v="0"/>
    <n v="599"/>
    <x v="196"/>
  </r>
  <r>
    <s v="P00282"/>
    <x v="4"/>
    <x v="4"/>
    <x v="1"/>
    <x v="1"/>
    <x v="1"/>
    <x v="2"/>
    <x v="19"/>
    <n v="12"/>
    <n v="6.5"/>
    <s v="Dimensity 7200"/>
    <x v="2"/>
    <s v="Silver"/>
    <x v="1"/>
    <x v="2"/>
    <x v="1"/>
    <n v="549"/>
    <x v="197"/>
  </r>
  <r>
    <s v="P00283"/>
    <x v="3"/>
    <x v="3"/>
    <x v="4"/>
    <x v="4"/>
    <x v="1"/>
    <x v="1"/>
    <x v="4"/>
    <n v="50"/>
    <n v="6.2"/>
    <s v="Snapdragon 8 Gen2"/>
    <x v="3"/>
    <s v="White"/>
    <x v="1"/>
    <x v="4"/>
    <x v="0"/>
    <n v="799"/>
    <x v="198"/>
  </r>
  <r>
    <s v="P00284"/>
    <x v="0"/>
    <x v="0"/>
    <x v="4"/>
    <x v="4"/>
    <x v="0"/>
    <x v="0"/>
    <x v="8"/>
    <n v="64"/>
    <n v="6.2"/>
    <s v="Dimensity 8100"/>
    <x v="0"/>
    <s v="Green"/>
    <x v="1"/>
    <x v="6"/>
    <x v="0"/>
    <n v="599"/>
    <x v="95"/>
  </r>
  <r>
    <s v="P00285"/>
    <x v="8"/>
    <x v="8"/>
    <x v="0"/>
    <x v="0"/>
    <x v="3"/>
    <x v="3"/>
    <x v="1"/>
    <n v="12"/>
    <n v="6.4"/>
    <s v="Kirin 9000"/>
    <x v="0"/>
    <s v="Black"/>
    <x v="0"/>
    <x v="0"/>
    <x v="0"/>
    <n v="699"/>
    <x v="72"/>
  </r>
  <r>
    <s v="P00286"/>
    <x v="8"/>
    <x v="8"/>
    <x v="0"/>
    <x v="0"/>
    <x v="0"/>
    <x v="1"/>
    <x v="22"/>
    <n v="48"/>
    <n v="6.4"/>
    <s v="Kirin 9000"/>
    <x v="3"/>
    <s v="Green"/>
    <x v="0"/>
    <x v="0"/>
    <x v="0"/>
    <n v="699"/>
    <x v="199"/>
  </r>
  <r>
    <s v="P00287"/>
    <x v="9"/>
    <x v="12"/>
    <x v="2"/>
    <x v="2"/>
    <x v="0"/>
    <x v="3"/>
    <x v="24"/>
    <n v="50"/>
    <n v="6.7"/>
    <s v="Snapdragon 8 Gen 1"/>
    <x v="3"/>
    <s v="Silver"/>
    <x v="0"/>
    <x v="2"/>
    <x v="0"/>
    <n v="999"/>
    <x v="200"/>
  </r>
  <r>
    <s v="P00288"/>
    <x v="2"/>
    <x v="2"/>
    <x v="3"/>
    <x v="3"/>
    <x v="2"/>
    <x v="2"/>
    <x v="16"/>
    <n v="50"/>
    <n v="6.78"/>
    <s v="Dimensity 8020"/>
    <x v="1"/>
    <s v="Black"/>
    <x v="1"/>
    <x v="5"/>
    <x v="0"/>
    <n v="599"/>
    <x v="60"/>
  </r>
  <r>
    <s v="P00289"/>
    <x v="5"/>
    <x v="5"/>
    <x v="0"/>
    <x v="0"/>
    <x v="3"/>
    <x v="2"/>
    <x v="20"/>
    <n v="108"/>
    <n v="6.2"/>
    <s v="Dimensity 1300"/>
    <x v="3"/>
    <s v="Green"/>
    <x v="0"/>
    <x v="3"/>
    <x v="1"/>
    <n v="499"/>
    <x v="71"/>
  </r>
  <r>
    <s v="P00290"/>
    <x v="7"/>
    <x v="13"/>
    <x v="1"/>
    <x v="1"/>
    <x v="3"/>
    <x v="2"/>
    <x v="16"/>
    <n v="12"/>
    <n v="6.7"/>
    <s v="A14"/>
    <x v="0"/>
    <s v="Black"/>
    <x v="1"/>
    <x v="6"/>
    <x v="1"/>
    <n v="699"/>
    <x v="76"/>
  </r>
  <r>
    <s v="P00291"/>
    <x v="4"/>
    <x v="4"/>
    <x v="3"/>
    <x v="3"/>
    <x v="1"/>
    <x v="2"/>
    <x v="16"/>
    <n v="64"/>
    <n v="6.1"/>
    <s v="Dimensity 7200"/>
    <x v="3"/>
    <s v="White"/>
    <x v="0"/>
    <x v="1"/>
    <x v="1"/>
    <n v="549"/>
    <x v="43"/>
  </r>
  <r>
    <s v="P00292"/>
    <x v="1"/>
    <x v="1"/>
    <x v="3"/>
    <x v="3"/>
    <x v="0"/>
    <x v="0"/>
    <x v="3"/>
    <n v="64"/>
    <n v="6.1"/>
    <s v="Tensor G2"/>
    <x v="1"/>
    <s v="Purple"/>
    <x v="1"/>
    <x v="7"/>
    <x v="0"/>
    <n v="599"/>
    <x v="1"/>
  </r>
  <r>
    <s v="P00293"/>
    <x v="7"/>
    <x v="13"/>
    <x v="1"/>
    <x v="1"/>
    <x v="3"/>
    <x v="2"/>
    <x v="5"/>
    <n v="48"/>
    <n v="6.4"/>
    <s v="A14"/>
    <x v="3"/>
    <s v="Blue"/>
    <x v="1"/>
    <x v="1"/>
    <x v="0"/>
    <n v="699"/>
    <x v="201"/>
  </r>
  <r>
    <s v="P00294"/>
    <x v="2"/>
    <x v="2"/>
    <x v="0"/>
    <x v="0"/>
    <x v="0"/>
    <x v="1"/>
    <x v="21"/>
    <n v="48"/>
    <n v="6.67"/>
    <s v="Dimensity 8020"/>
    <x v="0"/>
    <s v="Purple"/>
    <x v="0"/>
    <x v="6"/>
    <x v="0"/>
    <n v="599"/>
    <x v="202"/>
  </r>
  <r>
    <s v="P00295"/>
    <x v="1"/>
    <x v="1"/>
    <x v="0"/>
    <x v="0"/>
    <x v="0"/>
    <x v="2"/>
    <x v="24"/>
    <n v="12"/>
    <n v="6.7"/>
    <s v="Tensor G2"/>
    <x v="1"/>
    <s v="Silver"/>
    <x v="1"/>
    <x v="1"/>
    <x v="1"/>
    <n v="599"/>
    <x v="177"/>
  </r>
  <r>
    <s v="P00296"/>
    <x v="5"/>
    <x v="5"/>
    <x v="2"/>
    <x v="2"/>
    <x v="1"/>
    <x v="0"/>
    <x v="10"/>
    <n v="50"/>
    <n v="6.5"/>
    <s v="Dimensity 1300"/>
    <x v="3"/>
    <s v="Blue"/>
    <x v="0"/>
    <x v="2"/>
    <x v="0"/>
    <n v="499"/>
    <x v="203"/>
  </r>
  <r>
    <s v="P00297"/>
    <x v="4"/>
    <x v="4"/>
    <x v="0"/>
    <x v="0"/>
    <x v="3"/>
    <x v="2"/>
    <x v="23"/>
    <n v="12"/>
    <n v="6.78"/>
    <s v="Dimensity 7200"/>
    <x v="0"/>
    <s v="Green"/>
    <x v="1"/>
    <x v="0"/>
    <x v="1"/>
    <n v="549"/>
    <x v="195"/>
  </r>
  <r>
    <s v="P00298"/>
    <x v="5"/>
    <x v="5"/>
    <x v="0"/>
    <x v="0"/>
    <x v="1"/>
    <x v="1"/>
    <x v="10"/>
    <n v="108"/>
    <n v="6.1"/>
    <s v="Dimensity 1300"/>
    <x v="3"/>
    <s v="Silver"/>
    <x v="1"/>
    <x v="7"/>
    <x v="1"/>
    <n v="499"/>
    <x v="84"/>
  </r>
  <r>
    <s v="P00299"/>
    <x v="2"/>
    <x v="2"/>
    <x v="2"/>
    <x v="2"/>
    <x v="1"/>
    <x v="1"/>
    <x v="12"/>
    <n v="50"/>
    <n v="6.7"/>
    <s v="Dimensity 8020"/>
    <x v="3"/>
    <s v="Green"/>
    <x v="0"/>
    <x v="6"/>
    <x v="1"/>
    <n v="599"/>
    <x v="46"/>
  </r>
  <r>
    <s v="P00300"/>
    <x v="6"/>
    <x v="6"/>
    <x v="4"/>
    <x v="4"/>
    <x v="0"/>
    <x v="2"/>
    <x v="21"/>
    <n v="12"/>
    <n v="6.78"/>
    <s v="Snapdragon 778G"/>
    <x v="2"/>
    <s v="White"/>
    <x v="1"/>
    <x v="3"/>
    <x v="1"/>
    <n v="399"/>
    <x v="15"/>
  </r>
  <r>
    <s v="P00301"/>
    <x v="1"/>
    <x v="1"/>
    <x v="0"/>
    <x v="0"/>
    <x v="1"/>
    <x v="2"/>
    <x v="17"/>
    <n v="108"/>
    <n v="6.67"/>
    <s v="Tensor G2"/>
    <x v="1"/>
    <s v="White"/>
    <x v="1"/>
    <x v="5"/>
    <x v="1"/>
    <n v="599"/>
    <x v="204"/>
  </r>
  <r>
    <s v="P00302"/>
    <x v="1"/>
    <x v="1"/>
    <x v="1"/>
    <x v="1"/>
    <x v="3"/>
    <x v="1"/>
    <x v="18"/>
    <n v="64"/>
    <n v="6.5"/>
    <s v="Tensor G2"/>
    <x v="1"/>
    <s v="White"/>
    <x v="1"/>
    <x v="5"/>
    <x v="0"/>
    <n v="599"/>
    <x v="1"/>
  </r>
  <r>
    <s v="P00303"/>
    <x v="8"/>
    <x v="8"/>
    <x v="0"/>
    <x v="0"/>
    <x v="3"/>
    <x v="0"/>
    <x v="25"/>
    <n v="108"/>
    <n v="6.2"/>
    <s v="Kirin 9000"/>
    <x v="3"/>
    <s v="Blue"/>
    <x v="1"/>
    <x v="1"/>
    <x v="1"/>
    <n v="699"/>
    <x v="205"/>
  </r>
  <r>
    <s v="P00304"/>
    <x v="1"/>
    <x v="1"/>
    <x v="2"/>
    <x v="2"/>
    <x v="0"/>
    <x v="3"/>
    <x v="15"/>
    <n v="108"/>
    <n v="6.1"/>
    <s v="Tensor G2"/>
    <x v="0"/>
    <s v="Purple"/>
    <x v="0"/>
    <x v="2"/>
    <x v="0"/>
    <n v="599"/>
    <x v="137"/>
  </r>
  <r>
    <s v="P00305"/>
    <x v="2"/>
    <x v="2"/>
    <x v="1"/>
    <x v="1"/>
    <x v="0"/>
    <x v="0"/>
    <x v="17"/>
    <n v="50"/>
    <n v="6.67"/>
    <s v="Dimensity 8020"/>
    <x v="3"/>
    <s v="Silver"/>
    <x v="1"/>
    <x v="7"/>
    <x v="1"/>
    <n v="599"/>
    <x v="206"/>
  </r>
  <r>
    <s v="P00306"/>
    <x v="1"/>
    <x v="1"/>
    <x v="4"/>
    <x v="4"/>
    <x v="2"/>
    <x v="0"/>
    <x v="13"/>
    <n v="48"/>
    <n v="6.78"/>
    <s v="Tensor G2"/>
    <x v="0"/>
    <s v="Green"/>
    <x v="1"/>
    <x v="3"/>
    <x v="0"/>
    <n v="599"/>
    <x v="149"/>
  </r>
  <r>
    <s v="P00307"/>
    <x v="8"/>
    <x v="8"/>
    <x v="2"/>
    <x v="2"/>
    <x v="1"/>
    <x v="2"/>
    <x v="23"/>
    <n v="108"/>
    <n v="6.2"/>
    <s v="Kirin 9000"/>
    <x v="1"/>
    <s v="Green"/>
    <x v="0"/>
    <x v="2"/>
    <x v="0"/>
    <n v="699"/>
    <x v="122"/>
  </r>
  <r>
    <s v="P00308"/>
    <x v="9"/>
    <x v="12"/>
    <x v="0"/>
    <x v="0"/>
    <x v="2"/>
    <x v="2"/>
    <x v="14"/>
    <n v="64"/>
    <n v="6.1"/>
    <s v="Snapdragon 8 Gen 1"/>
    <x v="0"/>
    <s v="White"/>
    <x v="0"/>
    <x v="6"/>
    <x v="0"/>
    <n v="999"/>
    <x v="26"/>
  </r>
  <r>
    <s v="P00309"/>
    <x v="9"/>
    <x v="10"/>
    <x v="3"/>
    <x v="3"/>
    <x v="0"/>
    <x v="0"/>
    <x v="23"/>
    <n v="48"/>
    <n v="6.78"/>
    <s v="Exynos 1380"/>
    <x v="0"/>
    <s v="Blue"/>
    <x v="0"/>
    <x v="1"/>
    <x v="0"/>
    <n v="449"/>
    <x v="207"/>
  </r>
  <r>
    <s v="P00310"/>
    <x v="4"/>
    <x v="4"/>
    <x v="4"/>
    <x v="4"/>
    <x v="1"/>
    <x v="0"/>
    <x v="9"/>
    <n v="48"/>
    <n v="6.7"/>
    <s v="Dimensity 7200"/>
    <x v="2"/>
    <s v="Purple"/>
    <x v="1"/>
    <x v="6"/>
    <x v="0"/>
    <n v="549"/>
    <x v="208"/>
  </r>
  <r>
    <s v="P00311"/>
    <x v="0"/>
    <x v="0"/>
    <x v="2"/>
    <x v="2"/>
    <x v="3"/>
    <x v="2"/>
    <x v="14"/>
    <n v="108"/>
    <n v="6.7"/>
    <s v="Dimensity 8100"/>
    <x v="0"/>
    <s v="Silver"/>
    <x v="0"/>
    <x v="1"/>
    <x v="0"/>
    <n v="599"/>
    <x v="209"/>
  </r>
  <r>
    <s v="P00312"/>
    <x v="5"/>
    <x v="5"/>
    <x v="1"/>
    <x v="1"/>
    <x v="2"/>
    <x v="0"/>
    <x v="9"/>
    <n v="108"/>
    <n v="6.1"/>
    <s v="Dimensity 1300"/>
    <x v="3"/>
    <s v="Blue"/>
    <x v="1"/>
    <x v="5"/>
    <x v="0"/>
    <n v="499"/>
    <x v="210"/>
  </r>
  <r>
    <s v="P00313"/>
    <x v="9"/>
    <x v="12"/>
    <x v="2"/>
    <x v="2"/>
    <x v="0"/>
    <x v="3"/>
    <x v="2"/>
    <n v="64"/>
    <n v="6.78"/>
    <s v="Snapdragon 8 Gen 1"/>
    <x v="0"/>
    <s v="Silver"/>
    <x v="1"/>
    <x v="6"/>
    <x v="1"/>
    <n v="999"/>
    <x v="211"/>
  </r>
  <r>
    <s v="P00314"/>
    <x v="9"/>
    <x v="12"/>
    <x v="4"/>
    <x v="4"/>
    <x v="0"/>
    <x v="1"/>
    <x v="5"/>
    <n v="12"/>
    <n v="6.78"/>
    <s v="Snapdragon 8 Gen 1"/>
    <x v="3"/>
    <s v="Green"/>
    <x v="0"/>
    <x v="6"/>
    <x v="1"/>
    <n v="999"/>
    <x v="212"/>
  </r>
  <r>
    <s v="P00315"/>
    <x v="6"/>
    <x v="6"/>
    <x v="1"/>
    <x v="1"/>
    <x v="1"/>
    <x v="0"/>
    <x v="8"/>
    <n v="12"/>
    <n v="6.5"/>
    <s v="Snapdragon 778G"/>
    <x v="3"/>
    <s v="White"/>
    <x v="1"/>
    <x v="7"/>
    <x v="1"/>
    <n v="399"/>
    <x v="213"/>
  </r>
  <r>
    <s v="P00316"/>
    <x v="7"/>
    <x v="11"/>
    <x v="4"/>
    <x v="4"/>
    <x v="1"/>
    <x v="2"/>
    <x v="3"/>
    <n v="48"/>
    <n v="6.1"/>
    <s v="A15"/>
    <x v="2"/>
    <s v="Black"/>
    <x v="1"/>
    <x v="7"/>
    <x v="1"/>
    <n v="899"/>
    <x v="97"/>
  </r>
  <r>
    <s v="P00317"/>
    <x v="9"/>
    <x v="12"/>
    <x v="0"/>
    <x v="0"/>
    <x v="0"/>
    <x v="2"/>
    <x v="9"/>
    <n v="12"/>
    <n v="6.5"/>
    <s v="Snapdragon 8 Gen 1"/>
    <x v="1"/>
    <s v="Blue"/>
    <x v="1"/>
    <x v="2"/>
    <x v="0"/>
    <n v="999"/>
    <x v="214"/>
  </r>
  <r>
    <s v="P00318"/>
    <x v="8"/>
    <x v="8"/>
    <x v="2"/>
    <x v="2"/>
    <x v="0"/>
    <x v="1"/>
    <x v="12"/>
    <n v="64"/>
    <n v="6.4"/>
    <s v="Kirin 9000"/>
    <x v="3"/>
    <s v="Black"/>
    <x v="0"/>
    <x v="5"/>
    <x v="0"/>
    <n v="699"/>
    <x v="215"/>
  </r>
  <r>
    <s v="P00319"/>
    <x v="2"/>
    <x v="2"/>
    <x v="4"/>
    <x v="4"/>
    <x v="2"/>
    <x v="1"/>
    <x v="20"/>
    <n v="50"/>
    <n v="6.67"/>
    <s v="Dimensity 8020"/>
    <x v="0"/>
    <s v="Silver"/>
    <x v="1"/>
    <x v="4"/>
    <x v="0"/>
    <n v="599"/>
    <x v="61"/>
  </r>
  <r>
    <s v="P00320"/>
    <x v="9"/>
    <x v="10"/>
    <x v="2"/>
    <x v="2"/>
    <x v="0"/>
    <x v="3"/>
    <x v="0"/>
    <n v="12"/>
    <n v="6.7"/>
    <s v="Exynos 1380"/>
    <x v="1"/>
    <s v="White"/>
    <x v="0"/>
    <x v="6"/>
    <x v="0"/>
    <n v="449"/>
    <x v="17"/>
  </r>
  <r>
    <s v="P00321"/>
    <x v="3"/>
    <x v="3"/>
    <x v="2"/>
    <x v="2"/>
    <x v="3"/>
    <x v="0"/>
    <x v="10"/>
    <n v="108"/>
    <n v="6.7"/>
    <s v="Snapdragon 8 Gen2"/>
    <x v="0"/>
    <s v="Purple"/>
    <x v="1"/>
    <x v="4"/>
    <x v="1"/>
    <n v="799"/>
    <x v="216"/>
  </r>
  <r>
    <s v="P00322"/>
    <x v="9"/>
    <x v="10"/>
    <x v="4"/>
    <x v="4"/>
    <x v="2"/>
    <x v="3"/>
    <x v="25"/>
    <n v="48"/>
    <n v="6.5"/>
    <s v="Exynos 1380"/>
    <x v="2"/>
    <s v="Silver"/>
    <x v="1"/>
    <x v="4"/>
    <x v="0"/>
    <n v="449"/>
    <x v="7"/>
  </r>
  <r>
    <s v="P00323"/>
    <x v="0"/>
    <x v="0"/>
    <x v="3"/>
    <x v="3"/>
    <x v="1"/>
    <x v="2"/>
    <x v="23"/>
    <n v="64"/>
    <n v="6.78"/>
    <s v="Dimensity 8100"/>
    <x v="0"/>
    <s v="Blue"/>
    <x v="0"/>
    <x v="6"/>
    <x v="1"/>
    <n v="599"/>
    <x v="104"/>
  </r>
  <r>
    <s v="P00324"/>
    <x v="6"/>
    <x v="9"/>
    <x v="1"/>
    <x v="1"/>
    <x v="3"/>
    <x v="0"/>
    <x v="15"/>
    <n v="108"/>
    <n v="6.4"/>
    <s v="Snapdragon 680"/>
    <x v="0"/>
    <s v="Black"/>
    <x v="1"/>
    <x v="3"/>
    <x v="1"/>
    <n v="299"/>
    <x v="217"/>
  </r>
  <r>
    <s v="P00325"/>
    <x v="9"/>
    <x v="12"/>
    <x v="1"/>
    <x v="1"/>
    <x v="3"/>
    <x v="0"/>
    <x v="10"/>
    <n v="48"/>
    <n v="6.1"/>
    <s v="Snapdragon 8 Gen 1"/>
    <x v="3"/>
    <s v="Green"/>
    <x v="0"/>
    <x v="5"/>
    <x v="0"/>
    <n v="999"/>
    <x v="218"/>
  </r>
  <r>
    <s v="P00326"/>
    <x v="2"/>
    <x v="2"/>
    <x v="1"/>
    <x v="1"/>
    <x v="1"/>
    <x v="1"/>
    <x v="6"/>
    <n v="50"/>
    <n v="6.67"/>
    <s v="Dimensity 8020"/>
    <x v="3"/>
    <s v="Blue"/>
    <x v="1"/>
    <x v="7"/>
    <x v="0"/>
    <n v="599"/>
    <x v="106"/>
  </r>
  <r>
    <s v="P00327"/>
    <x v="1"/>
    <x v="1"/>
    <x v="1"/>
    <x v="1"/>
    <x v="3"/>
    <x v="1"/>
    <x v="21"/>
    <n v="12"/>
    <n v="6.67"/>
    <s v="Tensor G2"/>
    <x v="1"/>
    <s v="Black"/>
    <x v="1"/>
    <x v="3"/>
    <x v="1"/>
    <n v="599"/>
    <x v="1"/>
  </r>
  <r>
    <s v="P00328"/>
    <x v="6"/>
    <x v="6"/>
    <x v="3"/>
    <x v="3"/>
    <x v="0"/>
    <x v="1"/>
    <x v="9"/>
    <n v="108"/>
    <n v="6.5"/>
    <s v="Snapdragon 778G"/>
    <x v="1"/>
    <s v="Silver"/>
    <x v="1"/>
    <x v="1"/>
    <x v="0"/>
    <n v="399"/>
    <x v="42"/>
  </r>
  <r>
    <s v="P00329"/>
    <x v="6"/>
    <x v="6"/>
    <x v="4"/>
    <x v="4"/>
    <x v="3"/>
    <x v="3"/>
    <x v="15"/>
    <n v="12"/>
    <n v="6.78"/>
    <s v="Snapdragon 778G"/>
    <x v="0"/>
    <s v="White"/>
    <x v="1"/>
    <x v="0"/>
    <x v="0"/>
    <n v="399"/>
    <x v="113"/>
  </r>
  <r>
    <s v="P00330"/>
    <x v="2"/>
    <x v="2"/>
    <x v="1"/>
    <x v="1"/>
    <x v="2"/>
    <x v="2"/>
    <x v="16"/>
    <n v="12"/>
    <n v="6.7"/>
    <s v="Dimensity 8020"/>
    <x v="2"/>
    <s v="Blue"/>
    <x v="1"/>
    <x v="4"/>
    <x v="1"/>
    <n v="599"/>
    <x v="219"/>
  </r>
  <r>
    <s v="P00331"/>
    <x v="9"/>
    <x v="12"/>
    <x v="1"/>
    <x v="1"/>
    <x v="1"/>
    <x v="3"/>
    <x v="19"/>
    <n v="108"/>
    <n v="6.7"/>
    <s v="Snapdragon 8 Gen 1"/>
    <x v="2"/>
    <s v="Black"/>
    <x v="1"/>
    <x v="7"/>
    <x v="1"/>
    <n v="999"/>
    <x v="202"/>
  </r>
  <r>
    <s v="P00332"/>
    <x v="8"/>
    <x v="8"/>
    <x v="1"/>
    <x v="1"/>
    <x v="1"/>
    <x v="0"/>
    <x v="3"/>
    <n v="12"/>
    <n v="6.1"/>
    <s v="Kirin 9000"/>
    <x v="0"/>
    <s v="Blue"/>
    <x v="0"/>
    <x v="0"/>
    <x v="0"/>
    <n v="699"/>
    <x v="220"/>
  </r>
  <r>
    <s v="P00333"/>
    <x v="9"/>
    <x v="10"/>
    <x v="3"/>
    <x v="3"/>
    <x v="0"/>
    <x v="2"/>
    <x v="25"/>
    <n v="50"/>
    <n v="6.1"/>
    <s v="Exynos 1380"/>
    <x v="3"/>
    <s v="Green"/>
    <x v="0"/>
    <x v="2"/>
    <x v="0"/>
    <n v="449"/>
    <x v="221"/>
  </r>
  <r>
    <s v="P00334"/>
    <x v="6"/>
    <x v="6"/>
    <x v="2"/>
    <x v="2"/>
    <x v="2"/>
    <x v="0"/>
    <x v="7"/>
    <n v="108"/>
    <n v="6.67"/>
    <s v="Snapdragon 778G"/>
    <x v="0"/>
    <s v="Black"/>
    <x v="0"/>
    <x v="4"/>
    <x v="0"/>
    <n v="399"/>
    <x v="222"/>
  </r>
  <r>
    <s v="P00335"/>
    <x v="7"/>
    <x v="7"/>
    <x v="0"/>
    <x v="0"/>
    <x v="0"/>
    <x v="3"/>
    <x v="3"/>
    <n v="12"/>
    <n v="6.4"/>
    <s v="A15"/>
    <x v="3"/>
    <s v="White"/>
    <x v="1"/>
    <x v="4"/>
    <x v="0"/>
    <n v="799"/>
    <x v="223"/>
  </r>
  <r>
    <s v="P00336"/>
    <x v="9"/>
    <x v="12"/>
    <x v="4"/>
    <x v="4"/>
    <x v="2"/>
    <x v="1"/>
    <x v="25"/>
    <n v="12"/>
    <n v="6.2"/>
    <s v="Snapdragon 8 Gen 1"/>
    <x v="0"/>
    <s v="Blue"/>
    <x v="0"/>
    <x v="5"/>
    <x v="0"/>
    <n v="999"/>
    <x v="224"/>
  </r>
  <r>
    <s v="P00337"/>
    <x v="0"/>
    <x v="0"/>
    <x v="1"/>
    <x v="1"/>
    <x v="1"/>
    <x v="2"/>
    <x v="18"/>
    <n v="48"/>
    <n v="6.7"/>
    <s v="Dimensity 8100"/>
    <x v="3"/>
    <s v="Blue"/>
    <x v="1"/>
    <x v="6"/>
    <x v="0"/>
    <n v="599"/>
    <x v="225"/>
  </r>
  <r>
    <s v="P00338"/>
    <x v="1"/>
    <x v="1"/>
    <x v="4"/>
    <x v="4"/>
    <x v="1"/>
    <x v="3"/>
    <x v="0"/>
    <n v="64"/>
    <n v="6.78"/>
    <s v="Tensor G2"/>
    <x v="3"/>
    <s v="Purple"/>
    <x v="1"/>
    <x v="1"/>
    <x v="0"/>
    <n v="599"/>
    <x v="226"/>
  </r>
  <r>
    <s v="P00339"/>
    <x v="1"/>
    <x v="1"/>
    <x v="3"/>
    <x v="3"/>
    <x v="3"/>
    <x v="3"/>
    <x v="23"/>
    <n v="50"/>
    <n v="6.2"/>
    <s v="Tensor G2"/>
    <x v="3"/>
    <s v="Black"/>
    <x v="1"/>
    <x v="3"/>
    <x v="0"/>
    <n v="599"/>
    <x v="227"/>
  </r>
  <r>
    <s v="P00340"/>
    <x v="4"/>
    <x v="4"/>
    <x v="2"/>
    <x v="2"/>
    <x v="0"/>
    <x v="2"/>
    <x v="20"/>
    <n v="12"/>
    <n v="6.5"/>
    <s v="Dimensity 7200"/>
    <x v="0"/>
    <s v="Blue"/>
    <x v="0"/>
    <x v="0"/>
    <x v="1"/>
    <n v="549"/>
    <x v="228"/>
  </r>
  <r>
    <s v="P00341"/>
    <x v="3"/>
    <x v="3"/>
    <x v="2"/>
    <x v="2"/>
    <x v="3"/>
    <x v="2"/>
    <x v="1"/>
    <n v="64"/>
    <n v="6.5"/>
    <s v="Snapdragon 8 Gen2"/>
    <x v="0"/>
    <s v="Blue"/>
    <x v="0"/>
    <x v="3"/>
    <x v="1"/>
    <n v="799"/>
    <x v="229"/>
  </r>
  <r>
    <s v="P00342"/>
    <x v="4"/>
    <x v="4"/>
    <x v="1"/>
    <x v="1"/>
    <x v="3"/>
    <x v="0"/>
    <x v="23"/>
    <n v="108"/>
    <n v="6.78"/>
    <s v="Dimensity 7200"/>
    <x v="0"/>
    <s v="White"/>
    <x v="0"/>
    <x v="7"/>
    <x v="0"/>
    <n v="549"/>
    <x v="104"/>
  </r>
  <r>
    <s v="P00343"/>
    <x v="7"/>
    <x v="11"/>
    <x v="0"/>
    <x v="0"/>
    <x v="2"/>
    <x v="2"/>
    <x v="15"/>
    <n v="108"/>
    <n v="6.67"/>
    <s v="A15"/>
    <x v="0"/>
    <s v="Green"/>
    <x v="1"/>
    <x v="6"/>
    <x v="1"/>
    <n v="899"/>
    <x v="230"/>
  </r>
  <r>
    <s v="P00344"/>
    <x v="7"/>
    <x v="7"/>
    <x v="3"/>
    <x v="3"/>
    <x v="3"/>
    <x v="1"/>
    <x v="9"/>
    <n v="50"/>
    <n v="6.67"/>
    <s v="A15"/>
    <x v="1"/>
    <s v="Silver"/>
    <x v="0"/>
    <x v="5"/>
    <x v="0"/>
    <n v="799"/>
    <x v="20"/>
  </r>
  <r>
    <s v="P00345"/>
    <x v="8"/>
    <x v="8"/>
    <x v="3"/>
    <x v="3"/>
    <x v="2"/>
    <x v="0"/>
    <x v="3"/>
    <n v="108"/>
    <n v="6.7"/>
    <s v="Kirin 9000"/>
    <x v="0"/>
    <s v="Black"/>
    <x v="1"/>
    <x v="5"/>
    <x v="1"/>
    <n v="699"/>
    <x v="163"/>
  </r>
  <r>
    <s v="P00346"/>
    <x v="3"/>
    <x v="3"/>
    <x v="2"/>
    <x v="2"/>
    <x v="3"/>
    <x v="1"/>
    <x v="7"/>
    <n v="48"/>
    <n v="6.4"/>
    <s v="Snapdragon 8 Gen2"/>
    <x v="1"/>
    <s v="Black"/>
    <x v="1"/>
    <x v="2"/>
    <x v="1"/>
    <n v="799"/>
    <x v="20"/>
  </r>
  <r>
    <s v="P00347"/>
    <x v="4"/>
    <x v="4"/>
    <x v="1"/>
    <x v="1"/>
    <x v="2"/>
    <x v="3"/>
    <x v="5"/>
    <n v="48"/>
    <n v="6.2"/>
    <s v="Dimensity 7200"/>
    <x v="3"/>
    <s v="White"/>
    <x v="1"/>
    <x v="1"/>
    <x v="0"/>
    <n v="549"/>
    <x v="72"/>
  </r>
  <r>
    <s v="P00348"/>
    <x v="4"/>
    <x v="4"/>
    <x v="0"/>
    <x v="0"/>
    <x v="0"/>
    <x v="0"/>
    <x v="17"/>
    <n v="48"/>
    <n v="6.4"/>
    <s v="Dimensity 7200"/>
    <x v="2"/>
    <s v="Blue"/>
    <x v="1"/>
    <x v="1"/>
    <x v="1"/>
    <n v="549"/>
    <x v="207"/>
  </r>
  <r>
    <s v="P00349"/>
    <x v="8"/>
    <x v="8"/>
    <x v="0"/>
    <x v="0"/>
    <x v="1"/>
    <x v="1"/>
    <x v="20"/>
    <n v="50"/>
    <n v="6.67"/>
    <s v="Kirin 9000"/>
    <x v="0"/>
    <s v="Blue"/>
    <x v="0"/>
    <x v="3"/>
    <x v="1"/>
    <n v="699"/>
    <x v="231"/>
  </r>
  <r>
    <s v="P00350"/>
    <x v="0"/>
    <x v="0"/>
    <x v="4"/>
    <x v="4"/>
    <x v="1"/>
    <x v="0"/>
    <x v="17"/>
    <n v="108"/>
    <n v="6.78"/>
    <s v="Dimensity 8100"/>
    <x v="3"/>
    <s v="Blue"/>
    <x v="0"/>
    <x v="7"/>
    <x v="1"/>
    <n v="599"/>
    <x v="232"/>
  </r>
  <r>
    <s v="P00351"/>
    <x v="8"/>
    <x v="8"/>
    <x v="4"/>
    <x v="4"/>
    <x v="1"/>
    <x v="1"/>
    <x v="18"/>
    <n v="108"/>
    <n v="6.4"/>
    <s v="Kirin 9000"/>
    <x v="1"/>
    <s v="Silver"/>
    <x v="1"/>
    <x v="1"/>
    <x v="0"/>
    <n v="699"/>
    <x v="80"/>
  </r>
  <r>
    <s v="P00352"/>
    <x v="1"/>
    <x v="1"/>
    <x v="2"/>
    <x v="2"/>
    <x v="0"/>
    <x v="2"/>
    <x v="2"/>
    <n v="50"/>
    <n v="6.67"/>
    <s v="Tensor G2"/>
    <x v="1"/>
    <s v="Green"/>
    <x v="0"/>
    <x v="0"/>
    <x v="1"/>
    <n v="599"/>
    <x v="1"/>
  </r>
  <r>
    <s v="P00353"/>
    <x v="8"/>
    <x v="8"/>
    <x v="0"/>
    <x v="0"/>
    <x v="3"/>
    <x v="1"/>
    <x v="15"/>
    <n v="12"/>
    <n v="6.4"/>
    <s v="Kirin 9000"/>
    <x v="3"/>
    <s v="Purple"/>
    <x v="1"/>
    <x v="4"/>
    <x v="1"/>
    <n v="699"/>
    <x v="233"/>
  </r>
  <r>
    <s v="P00354"/>
    <x v="1"/>
    <x v="1"/>
    <x v="1"/>
    <x v="1"/>
    <x v="0"/>
    <x v="2"/>
    <x v="20"/>
    <n v="48"/>
    <n v="6.4"/>
    <s v="Tensor G2"/>
    <x v="0"/>
    <s v="Blue"/>
    <x v="0"/>
    <x v="2"/>
    <x v="1"/>
    <n v="599"/>
    <x v="98"/>
  </r>
  <r>
    <s v="P00355"/>
    <x v="2"/>
    <x v="2"/>
    <x v="4"/>
    <x v="4"/>
    <x v="1"/>
    <x v="3"/>
    <x v="1"/>
    <n v="12"/>
    <n v="6.78"/>
    <s v="Dimensity 8020"/>
    <x v="3"/>
    <s v="Black"/>
    <x v="0"/>
    <x v="3"/>
    <x v="0"/>
    <n v="599"/>
    <x v="196"/>
  </r>
  <r>
    <s v="P00356"/>
    <x v="7"/>
    <x v="11"/>
    <x v="4"/>
    <x v="4"/>
    <x v="3"/>
    <x v="3"/>
    <x v="10"/>
    <n v="64"/>
    <n v="6.1"/>
    <s v="A15"/>
    <x v="0"/>
    <s v="Green"/>
    <x v="1"/>
    <x v="4"/>
    <x v="0"/>
    <n v="899"/>
    <x v="87"/>
  </r>
  <r>
    <s v="P00357"/>
    <x v="8"/>
    <x v="8"/>
    <x v="0"/>
    <x v="0"/>
    <x v="2"/>
    <x v="3"/>
    <x v="25"/>
    <n v="12"/>
    <n v="6.7"/>
    <s v="Kirin 9000"/>
    <x v="3"/>
    <s v="White"/>
    <x v="0"/>
    <x v="1"/>
    <x v="0"/>
    <n v="699"/>
    <x v="234"/>
  </r>
  <r>
    <s v="P00358"/>
    <x v="0"/>
    <x v="0"/>
    <x v="1"/>
    <x v="1"/>
    <x v="1"/>
    <x v="2"/>
    <x v="2"/>
    <n v="64"/>
    <n v="6.5"/>
    <s v="Dimensity 8100"/>
    <x v="1"/>
    <s v="White"/>
    <x v="0"/>
    <x v="5"/>
    <x v="1"/>
    <n v="599"/>
    <x v="235"/>
  </r>
  <r>
    <s v="P00359"/>
    <x v="3"/>
    <x v="3"/>
    <x v="0"/>
    <x v="0"/>
    <x v="2"/>
    <x v="1"/>
    <x v="24"/>
    <n v="108"/>
    <n v="6.78"/>
    <s v="Snapdragon 8 Gen2"/>
    <x v="3"/>
    <s v="Blue"/>
    <x v="1"/>
    <x v="5"/>
    <x v="1"/>
    <n v="799"/>
    <x v="236"/>
  </r>
  <r>
    <s v="P00360"/>
    <x v="4"/>
    <x v="4"/>
    <x v="1"/>
    <x v="1"/>
    <x v="2"/>
    <x v="1"/>
    <x v="16"/>
    <n v="48"/>
    <n v="6.2"/>
    <s v="Dimensity 7200"/>
    <x v="0"/>
    <s v="Black"/>
    <x v="0"/>
    <x v="0"/>
    <x v="1"/>
    <n v="549"/>
    <x v="3"/>
  </r>
  <r>
    <s v="P00361"/>
    <x v="0"/>
    <x v="0"/>
    <x v="2"/>
    <x v="2"/>
    <x v="0"/>
    <x v="2"/>
    <x v="12"/>
    <n v="50"/>
    <n v="6.78"/>
    <s v="Dimensity 8100"/>
    <x v="3"/>
    <s v="Purple"/>
    <x v="0"/>
    <x v="4"/>
    <x v="1"/>
    <n v="599"/>
    <x v="138"/>
  </r>
  <r>
    <s v="P00362"/>
    <x v="3"/>
    <x v="3"/>
    <x v="2"/>
    <x v="2"/>
    <x v="0"/>
    <x v="3"/>
    <x v="12"/>
    <n v="50"/>
    <n v="6.2"/>
    <s v="Snapdragon 8 Gen2"/>
    <x v="0"/>
    <s v="Silver"/>
    <x v="0"/>
    <x v="6"/>
    <x v="1"/>
    <n v="799"/>
    <x v="144"/>
  </r>
  <r>
    <s v="P00363"/>
    <x v="1"/>
    <x v="1"/>
    <x v="1"/>
    <x v="1"/>
    <x v="3"/>
    <x v="2"/>
    <x v="20"/>
    <n v="48"/>
    <n v="6.1"/>
    <s v="Tensor G2"/>
    <x v="0"/>
    <s v="Green"/>
    <x v="1"/>
    <x v="2"/>
    <x v="0"/>
    <n v="599"/>
    <x v="237"/>
  </r>
  <r>
    <s v="P00364"/>
    <x v="1"/>
    <x v="1"/>
    <x v="2"/>
    <x v="2"/>
    <x v="2"/>
    <x v="2"/>
    <x v="7"/>
    <n v="64"/>
    <n v="6.67"/>
    <s v="Tensor G2"/>
    <x v="3"/>
    <s v="Black"/>
    <x v="1"/>
    <x v="1"/>
    <x v="1"/>
    <n v="599"/>
    <x v="238"/>
  </r>
  <r>
    <s v="P00365"/>
    <x v="1"/>
    <x v="1"/>
    <x v="0"/>
    <x v="0"/>
    <x v="1"/>
    <x v="2"/>
    <x v="11"/>
    <n v="64"/>
    <n v="6.7"/>
    <s v="Tensor G2"/>
    <x v="0"/>
    <s v="Silver"/>
    <x v="1"/>
    <x v="0"/>
    <x v="0"/>
    <n v="599"/>
    <x v="239"/>
  </r>
  <r>
    <s v="P00366"/>
    <x v="3"/>
    <x v="3"/>
    <x v="4"/>
    <x v="4"/>
    <x v="1"/>
    <x v="2"/>
    <x v="18"/>
    <n v="108"/>
    <n v="6.78"/>
    <s v="Snapdragon 8 Gen2"/>
    <x v="3"/>
    <s v="Purple"/>
    <x v="1"/>
    <x v="7"/>
    <x v="1"/>
    <n v="799"/>
    <x v="240"/>
  </r>
  <r>
    <s v="P00367"/>
    <x v="1"/>
    <x v="1"/>
    <x v="0"/>
    <x v="0"/>
    <x v="0"/>
    <x v="3"/>
    <x v="8"/>
    <n v="108"/>
    <n v="6.4"/>
    <s v="Tensor G2"/>
    <x v="3"/>
    <s v="Purple"/>
    <x v="0"/>
    <x v="4"/>
    <x v="1"/>
    <n v="599"/>
    <x v="124"/>
  </r>
  <r>
    <s v="P00368"/>
    <x v="6"/>
    <x v="9"/>
    <x v="3"/>
    <x v="3"/>
    <x v="3"/>
    <x v="0"/>
    <x v="4"/>
    <n v="48"/>
    <n v="6.4"/>
    <s v="Snapdragon 680"/>
    <x v="0"/>
    <s v="White"/>
    <x v="0"/>
    <x v="7"/>
    <x v="0"/>
    <n v="299"/>
    <x v="56"/>
  </r>
  <r>
    <s v="P00369"/>
    <x v="1"/>
    <x v="1"/>
    <x v="3"/>
    <x v="3"/>
    <x v="3"/>
    <x v="0"/>
    <x v="0"/>
    <n v="108"/>
    <n v="6.5"/>
    <s v="Tensor G2"/>
    <x v="0"/>
    <s v="Blue"/>
    <x v="1"/>
    <x v="5"/>
    <x v="0"/>
    <n v="599"/>
    <x v="83"/>
  </r>
  <r>
    <s v="P00370"/>
    <x v="4"/>
    <x v="4"/>
    <x v="2"/>
    <x v="2"/>
    <x v="0"/>
    <x v="2"/>
    <x v="11"/>
    <n v="108"/>
    <n v="6.2"/>
    <s v="Dimensity 7200"/>
    <x v="0"/>
    <s v="White"/>
    <x v="1"/>
    <x v="7"/>
    <x v="0"/>
    <n v="549"/>
    <x v="171"/>
  </r>
  <r>
    <s v="P00371"/>
    <x v="8"/>
    <x v="8"/>
    <x v="1"/>
    <x v="1"/>
    <x v="3"/>
    <x v="1"/>
    <x v="13"/>
    <n v="48"/>
    <n v="6.5"/>
    <s v="Kirin 9000"/>
    <x v="1"/>
    <s v="Green"/>
    <x v="1"/>
    <x v="3"/>
    <x v="0"/>
    <n v="699"/>
    <x v="80"/>
  </r>
  <r>
    <s v="P00372"/>
    <x v="7"/>
    <x v="11"/>
    <x v="3"/>
    <x v="3"/>
    <x v="0"/>
    <x v="2"/>
    <x v="7"/>
    <n v="12"/>
    <n v="6.67"/>
    <s v="A15"/>
    <x v="0"/>
    <s v="White"/>
    <x v="0"/>
    <x v="3"/>
    <x v="1"/>
    <n v="899"/>
    <x v="241"/>
  </r>
  <r>
    <s v="P00373"/>
    <x v="3"/>
    <x v="3"/>
    <x v="4"/>
    <x v="4"/>
    <x v="1"/>
    <x v="2"/>
    <x v="25"/>
    <n v="50"/>
    <n v="6.78"/>
    <s v="Snapdragon 8 Gen2"/>
    <x v="3"/>
    <s v="Black"/>
    <x v="1"/>
    <x v="1"/>
    <x v="0"/>
    <n v="799"/>
    <x v="62"/>
  </r>
  <r>
    <s v="P00374"/>
    <x v="2"/>
    <x v="2"/>
    <x v="0"/>
    <x v="0"/>
    <x v="1"/>
    <x v="1"/>
    <x v="24"/>
    <n v="48"/>
    <n v="6.2"/>
    <s v="Dimensity 8020"/>
    <x v="0"/>
    <s v="White"/>
    <x v="0"/>
    <x v="4"/>
    <x v="0"/>
    <n v="599"/>
    <x v="142"/>
  </r>
  <r>
    <s v="P00375"/>
    <x v="8"/>
    <x v="8"/>
    <x v="0"/>
    <x v="0"/>
    <x v="3"/>
    <x v="2"/>
    <x v="20"/>
    <n v="48"/>
    <n v="6.4"/>
    <s v="Kirin 9000"/>
    <x v="1"/>
    <s v="Blue"/>
    <x v="1"/>
    <x v="7"/>
    <x v="1"/>
    <n v="699"/>
    <x v="242"/>
  </r>
  <r>
    <s v="P00376"/>
    <x v="1"/>
    <x v="1"/>
    <x v="4"/>
    <x v="4"/>
    <x v="3"/>
    <x v="1"/>
    <x v="22"/>
    <n v="12"/>
    <n v="6.7"/>
    <s v="Tensor G2"/>
    <x v="1"/>
    <s v="Blue"/>
    <x v="1"/>
    <x v="2"/>
    <x v="0"/>
    <n v="599"/>
    <x v="1"/>
  </r>
  <r>
    <s v="P00377"/>
    <x v="7"/>
    <x v="7"/>
    <x v="3"/>
    <x v="3"/>
    <x v="0"/>
    <x v="1"/>
    <x v="23"/>
    <n v="64"/>
    <n v="6.2"/>
    <s v="A15"/>
    <x v="1"/>
    <s v="Blue"/>
    <x v="0"/>
    <x v="7"/>
    <x v="1"/>
    <n v="799"/>
    <x v="20"/>
  </r>
  <r>
    <s v="P00378"/>
    <x v="8"/>
    <x v="8"/>
    <x v="1"/>
    <x v="1"/>
    <x v="1"/>
    <x v="2"/>
    <x v="0"/>
    <n v="48"/>
    <n v="6.78"/>
    <s v="Kirin 9000"/>
    <x v="3"/>
    <s v="White"/>
    <x v="0"/>
    <x v="4"/>
    <x v="1"/>
    <n v="699"/>
    <x v="243"/>
  </r>
  <r>
    <s v="P00379"/>
    <x v="9"/>
    <x v="12"/>
    <x v="1"/>
    <x v="1"/>
    <x v="3"/>
    <x v="2"/>
    <x v="18"/>
    <n v="12"/>
    <n v="6.7"/>
    <s v="Snapdragon 8 Gen 1"/>
    <x v="3"/>
    <s v="Silver"/>
    <x v="0"/>
    <x v="7"/>
    <x v="1"/>
    <n v="999"/>
    <x v="244"/>
  </r>
  <r>
    <s v="P00380"/>
    <x v="2"/>
    <x v="2"/>
    <x v="2"/>
    <x v="2"/>
    <x v="0"/>
    <x v="0"/>
    <x v="8"/>
    <n v="108"/>
    <n v="6.4"/>
    <s v="Dimensity 8020"/>
    <x v="1"/>
    <s v="Black"/>
    <x v="1"/>
    <x v="3"/>
    <x v="0"/>
    <n v="599"/>
    <x v="1"/>
  </r>
  <r>
    <s v="P00381"/>
    <x v="0"/>
    <x v="0"/>
    <x v="2"/>
    <x v="2"/>
    <x v="0"/>
    <x v="2"/>
    <x v="15"/>
    <n v="12"/>
    <n v="6.67"/>
    <s v="Dimensity 8100"/>
    <x v="1"/>
    <s v="Black"/>
    <x v="1"/>
    <x v="3"/>
    <x v="0"/>
    <n v="599"/>
    <x v="1"/>
  </r>
  <r>
    <s v="P00382"/>
    <x v="8"/>
    <x v="8"/>
    <x v="4"/>
    <x v="4"/>
    <x v="0"/>
    <x v="2"/>
    <x v="25"/>
    <n v="108"/>
    <n v="6.78"/>
    <s v="Kirin 9000"/>
    <x v="0"/>
    <s v="Blue"/>
    <x v="1"/>
    <x v="1"/>
    <x v="1"/>
    <n v="699"/>
    <x v="136"/>
  </r>
  <r>
    <s v="P00383"/>
    <x v="6"/>
    <x v="9"/>
    <x v="4"/>
    <x v="4"/>
    <x v="2"/>
    <x v="1"/>
    <x v="19"/>
    <n v="108"/>
    <n v="6.7"/>
    <s v="Snapdragon 680"/>
    <x v="2"/>
    <s v="Blue"/>
    <x v="0"/>
    <x v="1"/>
    <x v="1"/>
    <n v="299"/>
    <x v="245"/>
  </r>
  <r>
    <s v="P00384"/>
    <x v="7"/>
    <x v="7"/>
    <x v="2"/>
    <x v="2"/>
    <x v="3"/>
    <x v="3"/>
    <x v="25"/>
    <n v="12"/>
    <n v="6.7"/>
    <s v="A15"/>
    <x v="2"/>
    <s v="Silver"/>
    <x v="1"/>
    <x v="3"/>
    <x v="1"/>
    <n v="799"/>
    <x v="246"/>
  </r>
  <r>
    <s v="P00385"/>
    <x v="4"/>
    <x v="4"/>
    <x v="0"/>
    <x v="0"/>
    <x v="2"/>
    <x v="0"/>
    <x v="23"/>
    <n v="48"/>
    <n v="6.4"/>
    <s v="Dimensity 7200"/>
    <x v="2"/>
    <s v="Green"/>
    <x v="1"/>
    <x v="0"/>
    <x v="0"/>
    <n v="549"/>
    <x v="22"/>
  </r>
  <r>
    <s v="P00386"/>
    <x v="8"/>
    <x v="8"/>
    <x v="4"/>
    <x v="4"/>
    <x v="0"/>
    <x v="2"/>
    <x v="7"/>
    <n v="50"/>
    <n v="6.78"/>
    <s v="Kirin 9000"/>
    <x v="0"/>
    <s v="Purple"/>
    <x v="1"/>
    <x v="4"/>
    <x v="0"/>
    <n v="699"/>
    <x v="238"/>
  </r>
  <r>
    <s v="P00387"/>
    <x v="3"/>
    <x v="3"/>
    <x v="1"/>
    <x v="1"/>
    <x v="3"/>
    <x v="1"/>
    <x v="9"/>
    <n v="64"/>
    <n v="6.78"/>
    <s v="Snapdragon 8 Gen2"/>
    <x v="1"/>
    <s v="Black"/>
    <x v="0"/>
    <x v="5"/>
    <x v="1"/>
    <n v="799"/>
    <x v="247"/>
  </r>
  <r>
    <s v="P00388"/>
    <x v="6"/>
    <x v="9"/>
    <x v="2"/>
    <x v="2"/>
    <x v="2"/>
    <x v="3"/>
    <x v="7"/>
    <n v="64"/>
    <n v="6.5"/>
    <s v="Snapdragon 680"/>
    <x v="3"/>
    <s v="Green"/>
    <x v="0"/>
    <x v="7"/>
    <x v="0"/>
    <n v="299"/>
    <x v="248"/>
  </r>
  <r>
    <s v="P00389"/>
    <x v="5"/>
    <x v="5"/>
    <x v="3"/>
    <x v="3"/>
    <x v="2"/>
    <x v="1"/>
    <x v="1"/>
    <n v="50"/>
    <n v="6.7"/>
    <s v="Dimensity 1300"/>
    <x v="3"/>
    <s v="Green"/>
    <x v="1"/>
    <x v="6"/>
    <x v="0"/>
    <n v="499"/>
    <x v="16"/>
  </r>
  <r>
    <s v="P00390"/>
    <x v="5"/>
    <x v="5"/>
    <x v="3"/>
    <x v="3"/>
    <x v="1"/>
    <x v="3"/>
    <x v="2"/>
    <n v="12"/>
    <n v="6.67"/>
    <s v="Dimensity 1300"/>
    <x v="1"/>
    <s v="White"/>
    <x v="1"/>
    <x v="6"/>
    <x v="0"/>
    <n v="499"/>
    <x v="16"/>
  </r>
  <r>
    <s v="P00391"/>
    <x v="9"/>
    <x v="12"/>
    <x v="4"/>
    <x v="4"/>
    <x v="2"/>
    <x v="1"/>
    <x v="13"/>
    <n v="64"/>
    <n v="6.78"/>
    <s v="Snapdragon 8 Gen 1"/>
    <x v="3"/>
    <s v="Green"/>
    <x v="0"/>
    <x v="5"/>
    <x v="1"/>
    <n v="999"/>
    <x v="249"/>
  </r>
  <r>
    <s v="P00392"/>
    <x v="4"/>
    <x v="4"/>
    <x v="4"/>
    <x v="4"/>
    <x v="3"/>
    <x v="1"/>
    <x v="3"/>
    <n v="48"/>
    <n v="6.67"/>
    <s v="Dimensity 7200"/>
    <x v="0"/>
    <s v="Blue"/>
    <x v="0"/>
    <x v="5"/>
    <x v="1"/>
    <n v="549"/>
    <x v="3"/>
  </r>
  <r>
    <s v="P00393"/>
    <x v="2"/>
    <x v="2"/>
    <x v="3"/>
    <x v="3"/>
    <x v="1"/>
    <x v="1"/>
    <x v="10"/>
    <n v="64"/>
    <n v="6.7"/>
    <s v="Dimensity 8020"/>
    <x v="3"/>
    <s v="Black"/>
    <x v="1"/>
    <x v="3"/>
    <x v="0"/>
    <n v="599"/>
    <x v="201"/>
  </r>
  <r>
    <s v="P00394"/>
    <x v="4"/>
    <x v="4"/>
    <x v="2"/>
    <x v="2"/>
    <x v="1"/>
    <x v="0"/>
    <x v="22"/>
    <n v="12"/>
    <n v="6.7"/>
    <s v="Dimensity 7200"/>
    <x v="3"/>
    <s v="Silver"/>
    <x v="0"/>
    <x v="4"/>
    <x v="1"/>
    <n v="549"/>
    <x v="65"/>
  </r>
  <r>
    <s v="P00395"/>
    <x v="6"/>
    <x v="9"/>
    <x v="0"/>
    <x v="0"/>
    <x v="2"/>
    <x v="2"/>
    <x v="12"/>
    <n v="48"/>
    <n v="6.5"/>
    <s v="Snapdragon 680"/>
    <x v="3"/>
    <s v="Black"/>
    <x v="0"/>
    <x v="7"/>
    <x v="1"/>
    <n v="299"/>
    <x v="250"/>
  </r>
  <r>
    <s v="P00396"/>
    <x v="4"/>
    <x v="4"/>
    <x v="0"/>
    <x v="0"/>
    <x v="0"/>
    <x v="2"/>
    <x v="0"/>
    <n v="12"/>
    <n v="6.67"/>
    <s v="Dimensity 7200"/>
    <x v="1"/>
    <s v="Purple"/>
    <x v="1"/>
    <x v="1"/>
    <x v="1"/>
    <n v="549"/>
    <x v="183"/>
  </r>
  <r>
    <s v="P00397"/>
    <x v="8"/>
    <x v="8"/>
    <x v="2"/>
    <x v="2"/>
    <x v="3"/>
    <x v="2"/>
    <x v="9"/>
    <n v="12"/>
    <n v="6.4"/>
    <s v="Kirin 9000"/>
    <x v="3"/>
    <s v="Black"/>
    <x v="0"/>
    <x v="0"/>
    <x v="0"/>
    <n v="699"/>
    <x v="161"/>
  </r>
  <r>
    <s v="P00398"/>
    <x v="7"/>
    <x v="11"/>
    <x v="1"/>
    <x v="1"/>
    <x v="2"/>
    <x v="3"/>
    <x v="25"/>
    <n v="108"/>
    <n v="6.5"/>
    <s v="A15"/>
    <x v="1"/>
    <s v="Green"/>
    <x v="1"/>
    <x v="1"/>
    <x v="0"/>
    <n v="899"/>
    <x v="200"/>
  </r>
  <r>
    <s v="P00399"/>
    <x v="2"/>
    <x v="2"/>
    <x v="0"/>
    <x v="0"/>
    <x v="1"/>
    <x v="2"/>
    <x v="17"/>
    <n v="48"/>
    <n v="6.2"/>
    <s v="Dimensity 8020"/>
    <x v="1"/>
    <s v="Blue"/>
    <x v="1"/>
    <x v="0"/>
    <x v="1"/>
    <n v="599"/>
    <x v="183"/>
  </r>
  <r>
    <s v="P00400"/>
    <x v="8"/>
    <x v="8"/>
    <x v="0"/>
    <x v="0"/>
    <x v="0"/>
    <x v="0"/>
    <x v="22"/>
    <n v="108"/>
    <n v="6.5"/>
    <s v="Kirin 9000"/>
    <x v="1"/>
    <s v="White"/>
    <x v="1"/>
    <x v="5"/>
    <x v="1"/>
    <n v="699"/>
    <x v="251"/>
  </r>
  <r>
    <s v="P00401"/>
    <x v="5"/>
    <x v="5"/>
    <x v="1"/>
    <x v="1"/>
    <x v="3"/>
    <x v="1"/>
    <x v="23"/>
    <n v="108"/>
    <n v="6.7"/>
    <s v="Dimensity 1300"/>
    <x v="2"/>
    <s v="Green"/>
    <x v="0"/>
    <x v="0"/>
    <x v="0"/>
    <n v="499"/>
    <x v="252"/>
  </r>
  <r>
    <s v="P00402"/>
    <x v="3"/>
    <x v="3"/>
    <x v="1"/>
    <x v="1"/>
    <x v="2"/>
    <x v="0"/>
    <x v="22"/>
    <n v="48"/>
    <n v="6.2"/>
    <s v="Snapdragon 8 Gen2"/>
    <x v="3"/>
    <s v="Purple"/>
    <x v="1"/>
    <x v="2"/>
    <x v="1"/>
    <n v="799"/>
    <x v="253"/>
  </r>
  <r>
    <s v="P00403"/>
    <x v="3"/>
    <x v="3"/>
    <x v="2"/>
    <x v="2"/>
    <x v="0"/>
    <x v="3"/>
    <x v="21"/>
    <n v="64"/>
    <n v="6.78"/>
    <s v="Snapdragon 8 Gen2"/>
    <x v="2"/>
    <s v="Silver"/>
    <x v="0"/>
    <x v="6"/>
    <x v="1"/>
    <n v="799"/>
    <x v="97"/>
  </r>
  <r>
    <s v="P00404"/>
    <x v="8"/>
    <x v="8"/>
    <x v="2"/>
    <x v="2"/>
    <x v="3"/>
    <x v="3"/>
    <x v="18"/>
    <n v="108"/>
    <n v="6.2"/>
    <s v="Kirin 9000"/>
    <x v="1"/>
    <s v="Black"/>
    <x v="0"/>
    <x v="1"/>
    <x v="1"/>
    <n v="699"/>
    <x v="254"/>
  </r>
  <r>
    <s v="P00405"/>
    <x v="7"/>
    <x v="7"/>
    <x v="4"/>
    <x v="4"/>
    <x v="2"/>
    <x v="2"/>
    <x v="17"/>
    <n v="64"/>
    <n v="6.7"/>
    <s v="A15"/>
    <x v="3"/>
    <s v="Purple"/>
    <x v="1"/>
    <x v="3"/>
    <x v="0"/>
    <n v="799"/>
    <x v="255"/>
  </r>
  <r>
    <s v="P00406"/>
    <x v="2"/>
    <x v="2"/>
    <x v="1"/>
    <x v="1"/>
    <x v="1"/>
    <x v="2"/>
    <x v="3"/>
    <n v="48"/>
    <n v="6.2"/>
    <s v="Dimensity 8020"/>
    <x v="1"/>
    <s v="White"/>
    <x v="0"/>
    <x v="1"/>
    <x v="0"/>
    <n v="599"/>
    <x v="60"/>
  </r>
  <r>
    <s v="P00407"/>
    <x v="7"/>
    <x v="7"/>
    <x v="0"/>
    <x v="0"/>
    <x v="0"/>
    <x v="3"/>
    <x v="24"/>
    <n v="108"/>
    <n v="6.67"/>
    <s v="A15"/>
    <x v="0"/>
    <s v="White"/>
    <x v="0"/>
    <x v="5"/>
    <x v="0"/>
    <n v="799"/>
    <x v="144"/>
  </r>
  <r>
    <s v="P00408"/>
    <x v="0"/>
    <x v="0"/>
    <x v="4"/>
    <x v="4"/>
    <x v="1"/>
    <x v="1"/>
    <x v="23"/>
    <n v="108"/>
    <n v="6.1"/>
    <s v="Dimensity 8100"/>
    <x v="0"/>
    <s v="White"/>
    <x v="1"/>
    <x v="1"/>
    <x v="0"/>
    <n v="599"/>
    <x v="256"/>
  </r>
  <r>
    <s v="P00409"/>
    <x v="1"/>
    <x v="1"/>
    <x v="2"/>
    <x v="2"/>
    <x v="2"/>
    <x v="0"/>
    <x v="5"/>
    <n v="50"/>
    <n v="6.1"/>
    <s v="Tensor G2"/>
    <x v="1"/>
    <s v="Blue"/>
    <x v="1"/>
    <x v="3"/>
    <x v="1"/>
    <n v="599"/>
    <x v="206"/>
  </r>
  <r>
    <s v="P00410"/>
    <x v="1"/>
    <x v="1"/>
    <x v="0"/>
    <x v="0"/>
    <x v="0"/>
    <x v="1"/>
    <x v="5"/>
    <n v="108"/>
    <n v="6.4"/>
    <s v="Tensor G2"/>
    <x v="0"/>
    <s v="Green"/>
    <x v="1"/>
    <x v="5"/>
    <x v="1"/>
    <n v="599"/>
    <x v="257"/>
  </r>
  <r>
    <s v="P00411"/>
    <x v="0"/>
    <x v="0"/>
    <x v="0"/>
    <x v="0"/>
    <x v="0"/>
    <x v="1"/>
    <x v="0"/>
    <n v="12"/>
    <n v="6.2"/>
    <s v="Dimensity 8100"/>
    <x v="3"/>
    <s v="White"/>
    <x v="0"/>
    <x v="2"/>
    <x v="1"/>
    <n v="599"/>
    <x v="1"/>
  </r>
  <r>
    <s v="P00412"/>
    <x v="7"/>
    <x v="11"/>
    <x v="0"/>
    <x v="0"/>
    <x v="2"/>
    <x v="3"/>
    <x v="0"/>
    <n v="50"/>
    <n v="6.7"/>
    <s v="A15"/>
    <x v="0"/>
    <s v="Green"/>
    <x v="1"/>
    <x v="6"/>
    <x v="1"/>
    <n v="899"/>
    <x v="251"/>
  </r>
  <r>
    <s v="P00413"/>
    <x v="6"/>
    <x v="6"/>
    <x v="0"/>
    <x v="0"/>
    <x v="2"/>
    <x v="2"/>
    <x v="7"/>
    <n v="12"/>
    <n v="6.7"/>
    <s v="Snapdragon 778G"/>
    <x v="0"/>
    <s v="White"/>
    <x v="0"/>
    <x v="3"/>
    <x v="1"/>
    <n v="399"/>
    <x v="258"/>
  </r>
  <r>
    <s v="P00414"/>
    <x v="1"/>
    <x v="1"/>
    <x v="2"/>
    <x v="2"/>
    <x v="0"/>
    <x v="2"/>
    <x v="21"/>
    <n v="64"/>
    <n v="6.1"/>
    <s v="Tensor G2"/>
    <x v="0"/>
    <s v="Purple"/>
    <x v="0"/>
    <x v="5"/>
    <x v="1"/>
    <n v="599"/>
    <x v="259"/>
  </r>
  <r>
    <s v="P00415"/>
    <x v="1"/>
    <x v="1"/>
    <x v="3"/>
    <x v="3"/>
    <x v="3"/>
    <x v="1"/>
    <x v="20"/>
    <n v="50"/>
    <n v="6.78"/>
    <s v="Tensor G2"/>
    <x v="3"/>
    <s v="Purple"/>
    <x v="1"/>
    <x v="7"/>
    <x v="0"/>
    <n v="599"/>
    <x v="1"/>
  </r>
  <r>
    <s v="P00416"/>
    <x v="2"/>
    <x v="2"/>
    <x v="1"/>
    <x v="1"/>
    <x v="3"/>
    <x v="0"/>
    <x v="10"/>
    <n v="50"/>
    <n v="6.1"/>
    <s v="Dimensity 8020"/>
    <x v="3"/>
    <s v="Silver"/>
    <x v="0"/>
    <x v="7"/>
    <x v="0"/>
    <n v="599"/>
    <x v="16"/>
  </r>
  <r>
    <s v="P00417"/>
    <x v="5"/>
    <x v="5"/>
    <x v="1"/>
    <x v="1"/>
    <x v="2"/>
    <x v="1"/>
    <x v="6"/>
    <n v="48"/>
    <n v="6.2"/>
    <s v="Dimensity 1300"/>
    <x v="3"/>
    <s v="Purple"/>
    <x v="1"/>
    <x v="2"/>
    <x v="0"/>
    <n v="499"/>
    <x v="136"/>
  </r>
  <r>
    <s v="P00418"/>
    <x v="1"/>
    <x v="1"/>
    <x v="1"/>
    <x v="1"/>
    <x v="1"/>
    <x v="2"/>
    <x v="8"/>
    <n v="48"/>
    <n v="6.7"/>
    <s v="Tensor G2"/>
    <x v="3"/>
    <s v="Green"/>
    <x v="1"/>
    <x v="2"/>
    <x v="1"/>
    <n v="599"/>
    <x v="16"/>
  </r>
  <r>
    <s v="P00419"/>
    <x v="8"/>
    <x v="8"/>
    <x v="2"/>
    <x v="2"/>
    <x v="0"/>
    <x v="1"/>
    <x v="6"/>
    <n v="108"/>
    <n v="6.78"/>
    <s v="Kirin 9000"/>
    <x v="1"/>
    <s v="White"/>
    <x v="0"/>
    <x v="4"/>
    <x v="1"/>
    <n v="699"/>
    <x v="80"/>
  </r>
  <r>
    <s v="P00420"/>
    <x v="6"/>
    <x v="6"/>
    <x v="2"/>
    <x v="2"/>
    <x v="2"/>
    <x v="3"/>
    <x v="14"/>
    <n v="50"/>
    <n v="6.2"/>
    <s v="Snapdragon 778G"/>
    <x v="3"/>
    <s v="Blue"/>
    <x v="1"/>
    <x v="7"/>
    <x v="1"/>
    <n v="399"/>
    <x v="260"/>
  </r>
  <r>
    <s v="P00421"/>
    <x v="6"/>
    <x v="6"/>
    <x v="3"/>
    <x v="3"/>
    <x v="0"/>
    <x v="2"/>
    <x v="17"/>
    <n v="48"/>
    <n v="6.2"/>
    <s v="Snapdragon 778G"/>
    <x v="1"/>
    <s v="Blue"/>
    <x v="1"/>
    <x v="5"/>
    <x v="1"/>
    <n v="399"/>
    <x v="42"/>
  </r>
  <r>
    <s v="P00422"/>
    <x v="4"/>
    <x v="4"/>
    <x v="1"/>
    <x v="1"/>
    <x v="3"/>
    <x v="3"/>
    <x v="9"/>
    <n v="50"/>
    <n v="6.1"/>
    <s v="Dimensity 7200"/>
    <x v="3"/>
    <s v="Silver"/>
    <x v="0"/>
    <x v="5"/>
    <x v="1"/>
    <n v="549"/>
    <x v="50"/>
  </r>
  <r>
    <s v="P00423"/>
    <x v="1"/>
    <x v="1"/>
    <x v="3"/>
    <x v="3"/>
    <x v="0"/>
    <x v="0"/>
    <x v="3"/>
    <n v="48"/>
    <n v="6.4"/>
    <s v="Tensor G2"/>
    <x v="2"/>
    <s v="White"/>
    <x v="1"/>
    <x v="4"/>
    <x v="1"/>
    <n v="599"/>
    <x v="261"/>
  </r>
  <r>
    <s v="P00424"/>
    <x v="5"/>
    <x v="5"/>
    <x v="1"/>
    <x v="1"/>
    <x v="1"/>
    <x v="3"/>
    <x v="23"/>
    <n v="108"/>
    <n v="6.78"/>
    <s v="Dimensity 1300"/>
    <x v="2"/>
    <s v="Black"/>
    <x v="0"/>
    <x v="2"/>
    <x v="1"/>
    <n v="499"/>
    <x v="262"/>
  </r>
  <r>
    <s v="P00425"/>
    <x v="8"/>
    <x v="8"/>
    <x v="1"/>
    <x v="1"/>
    <x v="0"/>
    <x v="1"/>
    <x v="7"/>
    <n v="64"/>
    <n v="6.2"/>
    <s v="Kirin 9000"/>
    <x v="2"/>
    <s v="Silver"/>
    <x v="0"/>
    <x v="4"/>
    <x v="0"/>
    <n v="699"/>
    <x v="57"/>
  </r>
  <r>
    <s v="P00426"/>
    <x v="2"/>
    <x v="2"/>
    <x v="2"/>
    <x v="2"/>
    <x v="0"/>
    <x v="1"/>
    <x v="1"/>
    <n v="48"/>
    <n v="6.1"/>
    <s v="Dimensity 8020"/>
    <x v="1"/>
    <s v="Blue"/>
    <x v="1"/>
    <x v="3"/>
    <x v="1"/>
    <n v="599"/>
    <x v="1"/>
  </r>
  <r>
    <s v="P00427"/>
    <x v="8"/>
    <x v="8"/>
    <x v="2"/>
    <x v="2"/>
    <x v="0"/>
    <x v="0"/>
    <x v="22"/>
    <n v="50"/>
    <n v="6.2"/>
    <s v="Kirin 9000"/>
    <x v="3"/>
    <s v="Purple"/>
    <x v="0"/>
    <x v="2"/>
    <x v="1"/>
    <n v="699"/>
    <x v="89"/>
  </r>
  <r>
    <s v="P00428"/>
    <x v="3"/>
    <x v="3"/>
    <x v="3"/>
    <x v="3"/>
    <x v="2"/>
    <x v="1"/>
    <x v="2"/>
    <n v="64"/>
    <n v="6.1"/>
    <s v="Snapdragon 8 Gen2"/>
    <x v="0"/>
    <s v="Purple"/>
    <x v="1"/>
    <x v="5"/>
    <x v="0"/>
    <n v="799"/>
    <x v="263"/>
  </r>
  <r>
    <s v="P00429"/>
    <x v="3"/>
    <x v="3"/>
    <x v="1"/>
    <x v="1"/>
    <x v="0"/>
    <x v="2"/>
    <x v="14"/>
    <n v="12"/>
    <n v="6.5"/>
    <s v="Snapdragon 8 Gen2"/>
    <x v="3"/>
    <s v="Green"/>
    <x v="0"/>
    <x v="1"/>
    <x v="0"/>
    <n v="799"/>
    <x v="264"/>
  </r>
  <r>
    <s v="P00430"/>
    <x v="0"/>
    <x v="0"/>
    <x v="3"/>
    <x v="3"/>
    <x v="2"/>
    <x v="0"/>
    <x v="2"/>
    <n v="64"/>
    <n v="6.4"/>
    <s v="Dimensity 8100"/>
    <x v="1"/>
    <s v="Purple"/>
    <x v="1"/>
    <x v="3"/>
    <x v="1"/>
    <n v="599"/>
    <x v="1"/>
  </r>
  <r>
    <s v="P00431"/>
    <x v="7"/>
    <x v="11"/>
    <x v="3"/>
    <x v="3"/>
    <x v="1"/>
    <x v="1"/>
    <x v="2"/>
    <n v="64"/>
    <n v="6.1"/>
    <s v="A15"/>
    <x v="1"/>
    <s v="White"/>
    <x v="0"/>
    <x v="1"/>
    <x v="0"/>
    <n v="899"/>
    <x v="145"/>
  </r>
  <r>
    <s v="P00432"/>
    <x v="0"/>
    <x v="0"/>
    <x v="1"/>
    <x v="1"/>
    <x v="2"/>
    <x v="0"/>
    <x v="9"/>
    <n v="64"/>
    <n v="6.2"/>
    <s v="Dimensity 8100"/>
    <x v="3"/>
    <s v="Black"/>
    <x v="1"/>
    <x v="1"/>
    <x v="1"/>
    <n v="599"/>
    <x v="51"/>
  </r>
  <r>
    <s v="P00433"/>
    <x v="5"/>
    <x v="5"/>
    <x v="4"/>
    <x v="4"/>
    <x v="2"/>
    <x v="2"/>
    <x v="5"/>
    <n v="108"/>
    <n v="6.4"/>
    <s v="Dimensity 1300"/>
    <x v="3"/>
    <s v="Silver"/>
    <x v="0"/>
    <x v="7"/>
    <x v="0"/>
    <n v="499"/>
    <x v="265"/>
  </r>
  <r>
    <s v="P00434"/>
    <x v="3"/>
    <x v="3"/>
    <x v="3"/>
    <x v="3"/>
    <x v="2"/>
    <x v="2"/>
    <x v="10"/>
    <n v="64"/>
    <n v="6.1"/>
    <s v="Snapdragon 8 Gen2"/>
    <x v="3"/>
    <s v="Green"/>
    <x v="0"/>
    <x v="5"/>
    <x v="0"/>
    <n v="799"/>
    <x v="62"/>
  </r>
  <r>
    <s v="P00435"/>
    <x v="2"/>
    <x v="2"/>
    <x v="1"/>
    <x v="1"/>
    <x v="3"/>
    <x v="2"/>
    <x v="23"/>
    <n v="64"/>
    <n v="6.67"/>
    <s v="Dimensity 8020"/>
    <x v="3"/>
    <s v="Silver"/>
    <x v="0"/>
    <x v="2"/>
    <x v="0"/>
    <n v="599"/>
    <x v="266"/>
  </r>
  <r>
    <s v="P00436"/>
    <x v="4"/>
    <x v="4"/>
    <x v="4"/>
    <x v="4"/>
    <x v="2"/>
    <x v="1"/>
    <x v="7"/>
    <n v="108"/>
    <n v="6.5"/>
    <s v="Dimensity 7200"/>
    <x v="3"/>
    <s v="Blue"/>
    <x v="0"/>
    <x v="4"/>
    <x v="1"/>
    <n v="549"/>
    <x v="226"/>
  </r>
  <r>
    <s v="P00437"/>
    <x v="1"/>
    <x v="1"/>
    <x v="1"/>
    <x v="1"/>
    <x v="0"/>
    <x v="1"/>
    <x v="14"/>
    <n v="48"/>
    <n v="6.1"/>
    <s v="Tensor G2"/>
    <x v="0"/>
    <s v="Green"/>
    <x v="1"/>
    <x v="0"/>
    <x v="0"/>
    <n v="599"/>
    <x v="267"/>
  </r>
  <r>
    <s v="P00438"/>
    <x v="8"/>
    <x v="8"/>
    <x v="1"/>
    <x v="1"/>
    <x v="2"/>
    <x v="1"/>
    <x v="14"/>
    <n v="64"/>
    <n v="6.78"/>
    <s v="Kirin 9000"/>
    <x v="3"/>
    <s v="Silver"/>
    <x v="0"/>
    <x v="1"/>
    <x v="1"/>
    <n v="699"/>
    <x v="268"/>
  </r>
  <r>
    <s v="P00439"/>
    <x v="4"/>
    <x v="4"/>
    <x v="2"/>
    <x v="2"/>
    <x v="2"/>
    <x v="2"/>
    <x v="13"/>
    <n v="48"/>
    <n v="6.7"/>
    <s v="Dimensity 7200"/>
    <x v="3"/>
    <s v="Black"/>
    <x v="0"/>
    <x v="2"/>
    <x v="0"/>
    <n v="549"/>
    <x v="269"/>
  </r>
  <r>
    <s v="P00440"/>
    <x v="5"/>
    <x v="5"/>
    <x v="1"/>
    <x v="1"/>
    <x v="3"/>
    <x v="2"/>
    <x v="7"/>
    <n v="12"/>
    <n v="6.5"/>
    <s v="Dimensity 1300"/>
    <x v="3"/>
    <s v="Blue"/>
    <x v="0"/>
    <x v="7"/>
    <x v="0"/>
    <n v="499"/>
    <x v="174"/>
  </r>
  <r>
    <s v="P00441"/>
    <x v="6"/>
    <x v="9"/>
    <x v="0"/>
    <x v="0"/>
    <x v="2"/>
    <x v="1"/>
    <x v="22"/>
    <n v="48"/>
    <n v="6.78"/>
    <s v="Snapdragon 680"/>
    <x v="0"/>
    <s v="Black"/>
    <x v="1"/>
    <x v="6"/>
    <x v="0"/>
    <n v="299"/>
    <x v="22"/>
  </r>
  <r>
    <s v="P00442"/>
    <x v="5"/>
    <x v="5"/>
    <x v="3"/>
    <x v="3"/>
    <x v="3"/>
    <x v="1"/>
    <x v="15"/>
    <n v="50"/>
    <n v="6.4"/>
    <s v="Dimensity 1300"/>
    <x v="3"/>
    <s v="Black"/>
    <x v="1"/>
    <x v="3"/>
    <x v="1"/>
    <n v="499"/>
    <x v="16"/>
  </r>
  <r>
    <s v="P00443"/>
    <x v="3"/>
    <x v="3"/>
    <x v="1"/>
    <x v="1"/>
    <x v="3"/>
    <x v="3"/>
    <x v="12"/>
    <n v="48"/>
    <n v="6.1"/>
    <s v="Snapdragon 8 Gen2"/>
    <x v="0"/>
    <s v="Blue"/>
    <x v="1"/>
    <x v="6"/>
    <x v="0"/>
    <n v="799"/>
    <x v="270"/>
  </r>
  <r>
    <s v="P00444"/>
    <x v="6"/>
    <x v="6"/>
    <x v="2"/>
    <x v="2"/>
    <x v="1"/>
    <x v="1"/>
    <x v="19"/>
    <n v="12"/>
    <n v="6.78"/>
    <s v="Snapdragon 778G"/>
    <x v="2"/>
    <s v="White"/>
    <x v="0"/>
    <x v="5"/>
    <x v="1"/>
    <n v="399"/>
    <x v="182"/>
  </r>
  <r>
    <s v="P00445"/>
    <x v="9"/>
    <x v="10"/>
    <x v="4"/>
    <x v="4"/>
    <x v="0"/>
    <x v="0"/>
    <x v="15"/>
    <n v="108"/>
    <n v="6.1"/>
    <s v="Exynos 1380"/>
    <x v="3"/>
    <s v="Purple"/>
    <x v="1"/>
    <x v="7"/>
    <x v="0"/>
    <n v="449"/>
    <x v="17"/>
  </r>
  <r>
    <s v="P00446"/>
    <x v="5"/>
    <x v="5"/>
    <x v="1"/>
    <x v="1"/>
    <x v="3"/>
    <x v="3"/>
    <x v="24"/>
    <n v="50"/>
    <n v="6.78"/>
    <s v="Dimensity 1300"/>
    <x v="0"/>
    <s v="Purple"/>
    <x v="1"/>
    <x v="5"/>
    <x v="0"/>
    <n v="499"/>
    <x v="271"/>
  </r>
  <r>
    <s v="P00447"/>
    <x v="8"/>
    <x v="8"/>
    <x v="2"/>
    <x v="2"/>
    <x v="2"/>
    <x v="3"/>
    <x v="13"/>
    <n v="48"/>
    <n v="6.78"/>
    <s v="Kirin 9000"/>
    <x v="0"/>
    <s v="Green"/>
    <x v="1"/>
    <x v="4"/>
    <x v="0"/>
    <n v="699"/>
    <x v="159"/>
  </r>
  <r>
    <s v="P00448"/>
    <x v="2"/>
    <x v="2"/>
    <x v="3"/>
    <x v="3"/>
    <x v="3"/>
    <x v="3"/>
    <x v="16"/>
    <n v="64"/>
    <n v="6.2"/>
    <s v="Dimensity 8020"/>
    <x v="1"/>
    <s v="White"/>
    <x v="1"/>
    <x v="5"/>
    <x v="1"/>
    <n v="599"/>
    <x v="46"/>
  </r>
  <r>
    <s v="P00449"/>
    <x v="9"/>
    <x v="10"/>
    <x v="2"/>
    <x v="2"/>
    <x v="0"/>
    <x v="0"/>
    <x v="13"/>
    <n v="48"/>
    <n v="6.78"/>
    <s v="Exynos 1380"/>
    <x v="3"/>
    <s v="Green"/>
    <x v="1"/>
    <x v="6"/>
    <x v="1"/>
    <n v="449"/>
    <x v="265"/>
  </r>
  <r>
    <s v="P00450"/>
    <x v="3"/>
    <x v="3"/>
    <x v="1"/>
    <x v="1"/>
    <x v="2"/>
    <x v="2"/>
    <x v="19"/>
    <n v="12"/>
    <n v="6.7"/>
    <s v="Snapdragon 8 Gen2"/>
    <x v="0"/>
    <s v="Green"/>
    <x v="1"/>
    <x v="2"/>
    <x v="0"/>
    <n v="799"/>
    <x v="183"/>
  </r>
  <r>
    <s v="P00451"/>
    <x v="1"/>
    <x v="1"/>
    <x v="1"/>
    <x v="1"/>
    <x v="3"/>
    <x v="2"/>
    <x v="23"/>
    <n v="64"/>
    <n v="6.67"/>
    <s v="Tensor G2"/>
    <x v="3"/>
    <s v="White"/>
    <x v="1"/>
    <x v="6"/>
    <x v="1"/>
    <n v="599"/>
    <x v="150"/>
  </r>
  <r>
    <s v="P00452"/>
    <x v="2"/>
    <x v="2"/>
    <x v="2"/>
    <x v="2"/>
    <x v="1"/>
    <x v="2"/>
    <x v="20"/>
    <n v="64"/>
    <n v="6.4"/>
    <s v="Dimensity 8020"/>
    <x v="0"/>
    <s v="White"/>
    <x v="0"/>
    <x v="3"/>
    <x v="1"/>
    <n v="599"/>
    <x v="155"/>
  </r>
  <r>
    <s v="P00453"/>
    <x v="5"/>
    <x v="5"/>
    <x v="3"/>
    <x v="3"/>
    <x v="0"/>
    <x v="1"/>
    <x v="22"/>
    <n v="108"/>
    <n v="6.78"/>
    <s v="Dimensity 1300"/>
    <x v="0"/>
    <s v="Green"/>
    <x v="1"/>
    <x v="2"/>
    <x v="1"/>
    <n v="499"/>
    <x v="272"/>
  </r>
  <r>
    <s v="P00454"/>
    <x v="7"/>
    <x v="7"/>
    <x v="4"/>
    <x v="4"/>
    <x v="3"/>
    <x v="2"/>
    <x v="15"/>
    <n v="50"/>
    <n v="6.5"/>
    <s v="A15"/>
    <x v="0"/>
    <s v="Silver"/>
    <x v="1"/>
    <x v="5"/>
    <x v="1"/>
    <n v="799"/>
    <x v="34"/>
  </r>
  <r>
    <s v="P00455"/>
    <x v="9"/>
    <x v="10"/>
    <x v="0"/>
    <x v="0"/>
    <x v="2"/>
    <x v="1"/>
    <x v="6"/>
    <n v="12"/>
    <n v="6.2"/>
    <s v="Exynos 1380"/>
    <x v="3"/>
    <s v="Black"/>
    <x v="0"/>
    <x v="6"/>
    <x v="0"/>
    <n v="449"/>
    <x v="17"/>
  </r>
  <r>
    <s v="P00456"/>
    <x v="7"/>
    <x v="13"/>
    <x v="2"/>
    <x v="2"/>
    <x v="0"/>
    <x v="3"/>
    <x v="6"/>
    <n v="108"/>
    <n v="6.1"/>
    <s v="A14"/>
    <x v="3"/>
    <s v="Purple"/>
    <x v="1"/>
    <x v="4"/>
    <x v="1"/>
    <n v="699"/>
    <x v="273"/>
  </r>
  <r>
    <s v="P00457"/>
    <x v="8"/>
    <x v="8"/>
    <x v="2"/>
    <x v="2"/>
    <x v="3"/>
    <x v="0"/>
    <x v="16"/>
    <n v="12"/>
    <n v="6.1"/>
    <s v="Kirin 9000"/>
    <x v="3"/>
    <s v="White"/>
    <x v="0"/>
    <x v="2"/>
    <x v="1"/>
    <n v="699"/>
    <x v="106"/>
  </r>
  <r>
    <s v="P00458"/>
    <x v="3"/>
    <x v="3"/>
    <x v="3"/>
    <x v="3"/>
    <x v="3"/>
    <x v="0"/>
    <x v="12"/>
    <n v="12"/>
    <n v="6.7"/>
    <s v="Snapdragon 8 Gen2"/>
    <x v="3"/>
    <s v="Blue"/>
    <x v="0"/>
    <x v="2"/>
    <x v="1"/>
    <n v="799"/>
    <x v="274"/>
  </r>
  <r>
    <s v="P00459"/>
    <x v="0"/>
    <x v="0"/>
    <x v="4"/>
    <x v="4"/>
    <x v="1"/>
    <x v="1"/>
    <x v="5"/>
    <n v="108"/>
    <n v="6.5"/>
    <s v="Dimensity 8100"/>
    <x v="1"/>
    <s v="White"/>
    <x v="1"/>
    <x v="4"/>
    <x v="0"/>
    <n v="599"/>
    <x v="1"/>
  </r>
  <r>
    <s v="P00460"/>
    <x v="2"/>
    <x v="2"/>
    <x v="2"/>
    <x v="2"/>
    <x v="3"/>
    <x v="1"/>
    <x v="12"/>
    <n v="12"/>
    <n v="6.4"/>
    <s v="Dimensity 8020"/>
    <x v="3"/>
    <s v="White"/>
    <x v="1"/>
    <x v="6"/>
    <x v="0"/>
    <n v="599"/>
    <x v="275"/>
  </r>
  <r>
    <s v="P00461"/>
    <x v="8"/>
    <x v="8"/>
    <x v="3"/>
    <x v="3"/>
    <x v="1"/>
    <x v="3"/>
    <x v="2"/>
    <n v="12"/>
    <n v="6.4"/>
    <s v="Kirin 9000"/>
    <x v="3"/>
    <s v="Silver"/>
    <x v="0"/>
    <x v="5"/>
    <x v="0"/>
    <n v="699"/>
    <x v="5"/>
  </r>
  <r>
    <s v="P00462"/>
    <x v="8"/>
    <x v="8"/>
    <x v="0"/>
    <x v="0"/>
    <x v="2"/>
    <x v="2"/>
    <x v="12"/>
    <n v="12"/>
    <n v="6.2"/>
    <s v="Kirin 9000"/>
    <x v="1"/>
    <s v="Black"/>
    <x v="1"/>
    <x v="4"/>
    <x v="1"/>
    <n v="699"/>
    <x v="276"/>
  </r>
  <r>
    <s v="P00463"/>
    <x v="2"/>
    <x v="2"/>
    <x v="1"/>
    <x v="1"/>
    <x v="0"/>
    <x v="2"/>
    <x v="4"/>
    <n v="12"/>
    <n v="6.5"/>
    <s v="Dimensity 8020"/>
    <x v="0"/>
    <s v="Silver"/>
    <x v="0"/>
    <x v="6"/>
    <x v="1"/>
    <n v="599"/>
    <x v="43"/>
  </r>
  <r>
    <s v="P00464"/>
    <x v="6"/>
    <x v="6"/>
    <x v="0"/>
    <x v="0"/>
    <x v="0"/>
    <x v="0"/>
    <x v="19"/>
    <n v="12"/>
    <n v="6.67"/>
    <s v="Snapdragon 778G"/>
    <x v="0"/>
    <s v="Silver"/>
    <x v="0"/>
    <x v="1"/>
    <x v="1"/>
    <n v="399"/>
    <x v="277"/>
  </r>
  <r>
    <s v="P00465"/>
    <x v="6"/>
    <x v="9"/>
    <x v="1"/>
    <x v="1"/>
    <x v="2"/>
    <x v="3"/>
    <x v="9"/>
    <n v="12"/>
    <n v="6.1"/>
    <s v="Snapdragon 680"/>
    <x v="3"/>
    <s v="Purple"/>
    <x v="1"/>
    <x v="0"/>
    <x v="1"/>
    <n v="299"/>
    <x v="22"/>
  </r>
  <r>
    <s v="P00466"/>
    <x v="9"/>
    <x v="12"/>
    <x v="0"/>
    <x v="0"/>
    <x v="2"/>
    <x v="1"/>
    <x v="8"/>
    <n v="108"/>
    <n v="6.67"/>
    <s v="Snapdragon 8 Gen 1"/>
    <x v="1"/>
    <s v="Silver"/>
    <x v="1"/>
    <x v="2"/>
    <x v="1"/>
    <n v="999"/>
    <x v="278"/>
  </r>
  <r>
    <s v="P00467"/>
    <x v="1"/>
    <x v="1"/>
    <x v="3"/>
    <x v="3"/>
    <x v="1"/>
    <x v="1"/>
    <x v="10"/>
    <n v="48"/>
    <n v="6.67"/>
    <s v="Tensor G2"/>
    <x v="0"/>
    <s v="White"/>
    <x v="0"/>
    <x v="1"/>
    <x v="0"/>
    <n v="599"/>
    <x v="32"/>
  </r>
  <r>
    <s v="P00468"/>
    <x v="7"/>
    <x v="13"/>
    <x v="3"/>
    <x v="3"/>
    <x v="1"/>
    <x v="3"/>
    <x v="14"/>
    <n v="48"/>
    <n v="6.1"/>
    <s v="A14"/>
    <x v="1"/>
    <s v="Black"/>
    <x v="1"/>
    <x v="4"/>
    <x v="1"/>
    <n v="699"/>
    <x v="268"/>
  </r>
  <r>
    <s v="P00469"/>
    <x v="5"/>
    <x v="5"/>
    <x v="0"/>
    <x v="0"/>
    <x v="0"/>
    <x v="0"/>
    <x v="17"/>
    <n v="12"/>
    <n v="6.78"/>
    <s v="Dimensity 1300"/>
    <x v="3"/>
    <s v="Blue"/>
    <x v="1"/>
    <x v="6"/>
    <x v="1"/>
    <n v="499"/>
    <x v="44"/>
  </r>
  <r>
    <s v="P00470"/>
    <x v="9"/>
    <x v="12"/>
    <x v="3"/>
    <x v="3"/>
    <x v="3"/>
    <x v="2"/>
    <x v="21"/>
    <n v="64"/>
    <n v="6.4"/>
    <s v="Snapdragon 8 Gen 1"/>
    <x v="3"/>
    <s v="Blue"/>
    <x v="0"/>
    <x v="3"/>
    <x v="0"/>
    <n v="999"/>
    <x v="279"/>
  </r>
  <r>
    <s v="P00471"/>
    <x v="0"/>
    <x v="0"/>
    <x v="3"/>
    <x v="3"/>
    <x v="2"/>
    <x v="0"/>
    <x v="3"/>
    <n v="12"/>
    <n v="6.7"/>
    <s v="Dimensity 8100"/>
    <x v="3"/>
    <s v="Green"/>
    <x v="1"/>
    <x v="1"/>
    <x v="0"/>
    <n v="599"/>
    <x v="163"/>
  </r>
  <r>
    <s v="P00472"/>
    <x v="0"/>
    <x v="0"/>
    <x v="1"/>
    <x v="1"/>
    <x v="3"/>
    <x v="2"/>
    <x v="4"/>
    <n v="50"/>
    <n v="6.2"/>
    <s v="Dimensity 8100"/>
    <x v="3"/>
    <s v="White"/>
    <x v="1"/>
    <x v="2"/>
    <x v="1"/>
    <n v="599"/>
    <x v="257"/>
  </r>
  <r>
    <s v="P00473"/>
    <x v="3"/>
    <x v="3"/>
    <x v="0"/>
    <x v="0"/>
    <x v="1"/>
    <x v="2"/>
    <x v="6"/>
    <n v="50"/>
    <n v="6.2"/>
    <s v="Snapdragon 8 Gen2"/>
    <x v="0"/>
    <s v="White"/>
    <x v="1"/>
    <x v="4"/>
    <x v="1"/>
    <n v="799"/>
    <x v="159"/>
  </r>
  <r>
    <s v="P00474"/>
    <x v="1"/>
    <x v="1"/>
    <x v="3"/>
    <x v="3"/>
    <x v="0"/>
    <x v="0"/>
    <x v="16"/>
    <n v="50"/>
    <n v="6.2"/>
    <s v="Tensor G2"/>
    <x v="0"/>
    <s v="Silver"/>
    <x v="0"/>
    <x v="5"/>
    <x v="0"/>
    <n v="599"/>
    <x v="179"/>
  </r>
  <r>
    <s v="P00475"/>
    <x v="7"/>
    <x v="11"/>
    <x v="3"/>
    <x v="3"/>
    <x v="3"/>
    <x v="2"/>
    <x v="22"/>
    <n v="50"/>
    <n v="6.1"/>
    <s v="A15"/>
    <x v="3"/>
    <s v="Black"/>
    <x v="0"/>
    <x v="4"/>
    <x v="1"/>
    <n v="899"/>
    <x v="280"/>
  </r>
  <r>
    <s v="P00476"/>
    <x v="6"/>
    <x v="6"/>
    <x v="3"/>
    <x v="3"/>
    <x v="2"/>
    <x v="3"/>
    <x v="6"/>
    <n v="108"/>
    <n v="6.1"/>
    <s v="Snapdragon 778G"/>
    <x v="0"/>
    <s v="Blue"/>
    <x v="0"/>
    <x v="3"/>
    <x v="1"/>
    <n v="399"/>
    <x v="281"/>
  </r>
  <r>
    <s v="P00477"/>
    <x v="2"/>
    <x v="2"/>
    <x v="4"/>
    <x v="4"/>
    <x v="2"/>
    <x v="0"/>
    <x v="0"/>
    <n v="12"/>
    <n v="6.1"/>
    <s v="Dimensity 8020"/>
    <x v="2"/>
    <s v="Blue"/>
    <x v="1"/>
    <x v="5"/>
    <x v="0"/>
    <n v="599"/>
    <x v="282"/>
  </r>
  <r>
    <s v="P00478"/>
    <x v="3"/>
    <x v="3"/>
    <x v="3"/>
    <x v="3"/>
    <x v="2"/>
    <x v="0"/>
    <x v="4"/>
    <n v="48"/>
    <n v="6.7"/>
    <s v="Snapdragon 8 Gen2"/>
    <x v="0"/>
    <s v="Black"/>
    <x v="0"/>
    <x v="5"/>
    <x v="0"/>
    <n v="799"/>
    <x v="34"/>
  </r>
  <r>
    <s v="P00479"/>
    <x v="7"/>
    <x v="13"/>
    <x v="2"/>
    <x v="2"/>
    <x v="2"/>
    <x v="0"/>
    <x v="14"/>
    <n v="48"/>
    <n v="6.78"/>
    <s v="A14"/>
    <x v="1"/>
    <s v="Purple"/>
    <x v="0"/>
    <x v="3"/>
    <x v="0"/>
    <n v="699"/>
    <x v="283"/>
  </r>
  <r>
    <s v="P00480"/>
    <x v="4"/>
    <x v="4"/>
    <x v="2"/>
    <x v="2"/>
    <x v="2"/>
    <x v="1"/>
    <x v="20"/>
    <n v="50"/>
    <n v="6.1"/>
    <s v="Dimensity 7200"/>
    <x v="3"/>
    <s v="Black"/>
    <x v="1"/>
    <x v="0"/>
    <x v="0"/>
    <n v="549"/>
    <x v="47"/>
  </r>
  <r>
    <s v="P00481"/>
    <x v="8"/>
    <x v="8"/>
    <x v="3"/>
    <x v="3"/>
    <x v="1"/>
    <x v="3"/>
    <x v="16"/>
    <n v="48"/>
    <n v="6.5"/>
    <s v="Kirin 9000"/>
    <x v="0"/>
    <s v="Green"/>
    <x v="1"/>
    <x v="5"/>
    <x v="0"/>
    <n v="699"/>
    <x v="28"/>
  </r>
  <r>
    <s v="P00482"/>
    <x v="5"/>
    <x v="5"/>
    <x v="4"/>
    <x v="4"/>
    <x v="0"/>
    <x v="0"/>
    <x v="25"/>
    <n v="12"/>
    <n v="6.78"/>
    <s v="Dimensity 1300"/>
    <x v="0"/>
    <s v="Silver"/>
    <x v="0"/>
    <x v="2"/>
    <x v="1"/>
    <n v="499"/>
    <x v="284"/>
  </r>
  <r>
    <s v="P00483"/>
    <x v="2"/>
    <x v="2"/>
    <x v="0"/>
    <x v="0"/>
    <x v="0"/>
    <x v="1"/>
    <x v="13"/>
    <n v="64"/>
    <n v="6.78"/>
    <s v="Dimensity 8020"/>
    <x v="2"/>
    <s v="Blue"/>
    <x v="0"/>
    <x v="5"/>
    <x v="0"/>
    <n v="599"/>
    <x v="285"/>
  </r>
  <r>
    <s v="P00484"/>
    <x v="1"/>
    <x v="1"/>
    <x v="2"/>
    <x v="2"/>
    <x v="1"/>
    <x v="0"/>
    <x v="4"/>
    <n v="12"/>
    <n v="6.5"/>
    <s v="Tensor G2"/>
    <x v="3"/>
    <s v="Blue"/>
    <x v="1"/>
    <x v="0"/>
    <x v="1"/>
    <n v="599"/>
    <x v="73"/>
  </r>
  <r>
    <s v="P00485"/>
    <x v="7"/>
    <x v="13"/>
    <x v="3"/>
    <x v="3"/>
    <x v="0"/>
    <x v="2"/>
    <x v="1"/>
    <n v="64"/>
    <n v="6.7"/>
    <s v="A14"/>
    <x v="0"/>
    <s v="Blue"/>
    <x v="1"/>
    <x v="1"/>
    <x v="1"/>
    <n v="699"/>
    <x v="229"/>
  </r>
  <r>
    <s v="P00486"/>
    <x v="2"/>
    <x v="2"/>
    <x v="0"/>
    <x v="0"/>
    <x v="0"/>
    <x v="1"/>
    <x v="4"/>
    <n v="12"/>
    <n v="6.4"/>
    <s v="Dimensity 8020"/>
    <x v="3"/>
    <s v="Purple"/>
    <x v="0"/>
    <x v="1"/>
    <x v="1"/>
    <n v="599"/>
    <x v="1"/>
  </r>
  <r>
    <s v="P00487"/>
    <x v="7"/>
    <x v="13"/>
    <x v="3"/>
    <x v="3"/>
    <x v="2"/>
    <x v="2"/>
    <x v="11"/>
    <n v="108"/>
    <n v="6.7"/>
    <s v="A14"/>
    <x v="3"/>
    <s v="Black"/>
    <x v="0"/>
    <x v="2"/>
    <x v="1"/>
    <n v="699"/>
    <x v="286"/>
  </r>
  <r>
    <s v="P00488"/>
    <x v="2"/>
    <x v="2"/>
    <x v="2"/>
    <x v="2"/>
    <x v="0"/>
    <x v="1"/>
    <x v="3"/>
    <n v="12"/>
    <n v="6.1"/>
    <s v="Dimensity 8020"/>
    <x v="0"/>
    <s v="White"/>
    <x v="1"/>
    <x v="6"/>
    <x v="1"/>
    <n v="599"/>
    <x v="287"/>
  </r>
  <r>
    <s v="P00489"/>
    <x v="8"/>
    <x v="8"/>
    <x v="3"/>
    <x v="3"/>
    <x v="2"/>
    <x v="3"/>
    <x v="0"/>
    <n v="64"/>
    <n v="6.4"/>
    <s v="Kirin 9000"/>
    <x v="1"/>
    <s v="White"/>
    <x v="1"/>
    <x v="0"/>
    <x v="1"/>
    <n v="699"/>
    <x v="288"/>
  </r>
  <r>
    <s v="P00490"/>
    <x v="2"/>
    <x v="2"/>
    <x v="4"/>
    <x v="4"/>
    <x v="1"/>
    <x v="0"/>
    <x v="13"/>
    <n v="50"/>
    <n v="6.7"/>
    <s v="Dimensity 8020"/>
    <x v="3"/>
    <s v="Purple"/>
    <x v="1"/>
    <x v="0"/>
    <x v="0"/>
    <n v="599"/>
    <x v="150"/>
  </r>
  <r>
    <s v="P00491"/>
    <x v="4"/>
    <x v="4"/>
    <x v="3"/>
    <x v="3"/>
    <x v="0"/>
    <x v="1"/>
    <x v="19"/>
    <n v="48"/>
    <n v="6.5"/>
    <s v="Dimensity 7200"/>
    <x v="3"/>
    <s v="Purple"/>
    <x v="0"/>
    <x v="6"/>
    <x v="1"/>
    <n v="549"/>
    <x v="9"/>
  </r>
  <r>
    <s v="P00492"/>
    <x v="8"/>
    <x v="8"/>
    <x v="2"/>
    <x v="2"/>
    <x v="0"/>
    <x v="1"/>
    <x v="14"/>
    <n v="64"/>
    <n v="6.78"/>
    <s v="Kirin 9000"/>
    <x v="3"/>
    <s v="White"/>
    <x v="1"/>
    <x v="4"/>
    <x v="1"/>
    <n v="699"/>
    <x v="289"/>
  </r>
  <r>
    <s v="P00493"/>
    <x v="2"/>
    <x v="2"/>
    <x v="0"/>
    <x v="0"/>
    <x v="3"/>
    <x v="0"/>
    <x v="8"/>
    <n v="108"/>
    <n v="6.78"/>
    <s v="Dimensity 8020"/>
    <x v="2"/>
    <s v="Blue"/>
    <x v="1"/>
    <x v="2"/>
    <x v="0"/>
    <n v="599"/>
    <x v="277"/>
  </r>
  <r>
    <s v="P00494"/>
    <x v="6"/>
    <x v="9"/>
    <x v="1"/>
    <x v="1"/>
    <x v="1"/>
    <x v="1"/>
    <x v="19"/>
    <n v="108"/>
    <n v="6.67"/>
    <s v="Snapdragon 680"/>
    <x v="1"/>
    <s v="Green"/>
    <x v="1"/>
    <x v="6"/>
    <x v="0"/>
    <n v="299"/>
    <x v="22"/>
  </r>
  <r>
    <s v="P00495"/>
    <x v="1"/>
    <x v="1"/>
    <x v="1"/>
    <x v="1"/>
    <x v="1"/>
    <x v="2"/>
    <x v="4"/>
    <n v="108"/>
    <n v="6.4"/>
    <s v="Tensor G2"/>
    <x v="1"/>
    <s v="White"/>
    <x v="0"/>
    <x v="3"/>
    <x v="1"/>
    <n v="599"/>
    <x v="290"/>
  </r>
  <r>
    <s v="P00496"/>
    <x v="2"/>
    <x v="2"/>
    <x v="0"/>
    <x v="0"/>
    <x v="2"/>
    <x v="0"/>
    <x v="22"/>
    <n v="48"/>
    <n v="6.4"/>
    <s v="Dimensity 8020"/>
    <x v="1"/>
    <s v="White"/>
    <x v="1"/>
    <x v="2"/>
    <x v="1"/>
    <n v="599"/>
    <x v="186"/>
  </r>
  <r>
    <s v="P00497"/>
    <x v="8"/>
    <x v="8"/>
    <x v="2"/>
    <x v="2"/>
    <x v="1"/>
    <x v="0"/>
    <x v="14"/>
    <n v="48"/>
    <n v="6.5"/>
    <s v="Kirin 9000"/>
    <x v="3"/>
    <s v="Blue"/>
    <x v="0"/>
    <x v="1"/>
    <x v="0"/>
    <n v="699"/>
    <x v="291"/>
  </r>
  <r>
    <s v="P00498"/>
    <x v="5"/>
    <x v="5"/>
    <x v="4"/>
    <x v="4"/>
    <x v="0"/>
    <x v="1"/>
    <x v="14"/>
    <n v="108"/>
    <n v="6.7"/>
    <s v="Dimensity 1300"/>
    <x v="3"/>
    <s v="Silver"/>
    <x v="0"/>
    <x v="5"/>
    <x v="1"/>
    <n v="499"/>
    <x v="16"/>
  </r>
  <r>
    <s v="P00499"/>
    <x v="0"/>
    <x v="0"/>
    <x v="1"/>
    <x v="1"/>
    <x v="2"/>
    <x v="0"/>
    <x v="25"/>
    <n v="64"/>
    <n v="6.78"/>
    <s v="Dimensity 8100"/>
    <x v="3"/>
    <s v="Blue"/>
    <x v="1"/>
    <x v="4"/>
    <x v="0"/>
    <n v="599"/>
    <x v="91"/>
  </r>
  <r>
    <s v="P00500"/>
    <x v="0"/>
    <x v="0"/>
    <x v="2"/>
    <x v="2"/>
    <x v="2"/>
    <x v="0"/>
    <x v="12"/>
    <n v="48"/>
    <n v="6.7"/>
    <s v="Dimensity 8100"/>
    <x v="0"/>
    <s v="Green"/>
    <x v="0"/>
    <x v="5"/>
    <x v="0"/>
    <n v="599"/>
    <x v="191"/>
  </r>
  <r>
    <s v="P00501"/>
    <x v="4"/>
    <x v="4"/>
    <x v="1"/>
    <x v="1"/>
    <x v="1"/>
    <x v="0"/>
    <x v="11"/>
    <n v="64"/>
    <n v="6.78"/>
    <s v="Dimensity 7200"/>
    <x v="2"/>
    <s v="Purple"/>
    <x v="1"/>
    <x v="5"/>
    <x v="1"/>
    <n v="549"/>
    <x v="262"/>
  </r>
  <r>
    <s v="P00502"/>
    <x v="5"/>
    <x v="5"/>
    <x v="2"/>
    <x v="2"/>
    <x v="0"/>
    <x v="3"/>
    <x v="13"/>
    <n v="50"/>
    <n v="6.78"/>
    <s v="Dimensity 1300"/>
    <x v="3"/>
    <s v="White"/>
    <x v="0"/>
    <x v="3"/>
    <x v="1"/>
    <n v="499"/>
    <x v="32"/>
  </r>
  <r>
    <s v="P00503"/>
    <x v="9"/>
    <x v="12"/>
    <x v="3"/>
    <x v="3"/>
    <x v="0"/>
    <x v="0"/>
    <x v="11"/>
    <n v="48"/>
    <n v="6.5"/>
    <s v="Snapdragon 8 Gen 1"/>
    <x v="3"/>
    <s v="Purple"/>
    <x v="1"/>
    <x v="3"/>
    <x v="0"/>
    <n v="999"/>
    <x v="292"/>
  </r>
  <r>
    <s v="P00504"/>
    <x v="5"/>
    <x v="5"/>
    <x v="2"/>
    <x v="2"/>
    <x v="2"/>
    <x v="3"/>
    <x v="25"/>
    <n v="12"/>
    <n v="6.2"/>
    <s v="Dimensity 1300"/>
    <x v="2"/>
    <s v="Purple"/>
    <x v="0"/>
    <x v="4"/>
    <x v="1"/>
    <n v="499"/>
    <x v="22"/>
  </r>
  <r>
    <s v="P00505"/>
    <x v="4"/>
    <x v="4"/>
    <x v="0"/>
    <x v="0"/>
    <x v="2"/>
    <x v="3"/>
    <x v="0"/>
    <n v="50"/>
    <n v="6.2"/>
    <s v="Dimensity 7200"/>
    <x v="1"/>
    <s v="Black"/>
    <x v="1"/>
    <x v="5"/>
    <x v="0"/>
    <n v="549"/>
    <x v="9"/>
  </r>
  <r>
    <s v="P00506"/>
    <x v="6"/>
    <x v="6"/>
    <x v="3"/>
    <x v="3"/>
    <x v="3"/>
    <x v="1"/>
    <x v="0"/>
    <n v="108"/>
    <n v="6.4"/>
    <s v="Snapdragon 778G"/>
    <x v="0"/>
    <s v="Blue"/>
    <x v="0"/>
    <x v="5"/>
    <x v="1"/>
    <n v="399"/>
    <x v="42"/>
  </r>
  <r>
    <s v="P00507"/>
    <x v="6"/>
    <x v="9"/>
    <x v="0"/>
    <x v="0"/>
    <x v="2"/>
    <x v="3"/>
    <x v="15"/>
    <n v="108"/>
    <n v="6.1"/>
    <s v="Snapdragon 680"/>
    <x v="3"/>
    <s v="Black"/>
    <x v="1"/>
    <x v="4"/>
    <x v="1"/>
    <n v="299"/>
    <x v="22"/>
  </r>
  <r>
    <s v="P00508"/>
    <x v="1"/>
    <x v="1"/>
    <x v="2"/>
    <x v="2"/>
    <x v="0"/>
    <x v="3"/>
    <x v="9"/>
    <n v="64"/>
    <n v="6.78"/>
    <s v="Tensor G2"/>
    <x v="1"/>
    <s v="Silver"/>
    <x v="0"/>
    <x v="0"/>
    <x v="1"/>
    <n v="599"/>
    <x v="1"/>
  </r>
  <r>
    <s v="P00509"/>
    <x v="7"/>
    <x v="11"/>
    <x v="4"/>
    <x v="4"/>
    <x v="2"/>
    <x v="3"/>
    <x v="6"/>
    <n v="108"/>
    <n v="6.1"/>
    <s v="A15"/>
    <x v="0"/>
    <s v="Green"/>
    <x v="1"/>
    <x v="0"/>
    <x v="1"/>
    <n v="899"/>
    <x v="293"/>
  </r>
  <r>
    <s v="P00510"/>
    <x v="8"/>
    <x v="8"/>
    <x v="1"/>
    <x v="1"/>
    <x v="2"/>
    <x v="3"/>
    <x v="23"/>
    <n v="12"/>
    <n v="6.78"/>
    <s v="Kirin 9000"/>
    <x v="3"/>
    <s v="Green"/>
    <x v="1"/>
    <x v="4"/>
    <x v="1"/>
    <n v="699"/>
    <x v="205"/>
  </r>
  <r>
    <s v="P00511"/>
    <x v="3"/>
    <x v="3"/>
    <x v="1"/>
    <x v="1"/>
    <x v="2"/>
    <x v="3"/>
    <x v="13"/>
    <n v="64"/>
    <n v="6.7"/>
    <s v="Snapdragon 8 Gen2"/>
    <x v="3"/>
    <s v="Black"/>
    <x v="1"/>
    <x v="1"/>
    <x v="0"/>
    <n v="799"/>
    <x v="294"/>
  </r>
  <r>
    <s v="P00512"/>
    <x v="5"/>
    <x v="5"/>
    <x v="1"/>
    <x v="1"/>
    <x v="3"/>
    <x v="2"/>
    <x v="4"/>
    <n v="64"/>
    <n v="6.5"/>
    <s v="Dimensity 1300"/>
    <x v="0"/>
    <s v="White"/>
    <x v="0"/>
    <x v="0"/>
    <x v="0"/>
    <n v="499"/>
    <x v="154"/>
  </r>
  <r>
    <s v="P00513"/>
    <x v="8"/>
    <x v="8"/>
    <x v="0"/>
    <x v="0"/>
    <x v="1"/>
    <x v="0"/>
    <x v="15"/>
    <n v="48"/>
    <n v="6.1"/>
    <s v="Kirin 9000"/>
    <x v="0"/>
    <s v="Silver"/>
    <x v="1"/>
    <x v="7"/>
    <x v="0"/>
    <n v="699"/>
    <x v="267"/>
  </r>
  <r>
    <s v="P00514"/>
    <x v="8"/>
    <x v="8"/>
    <x v="1"/>
    <x v="1"/>
    <x v="2"/>
    <x v="3"/>
    <x v="23"/>
    <n v="50"/>
    <n v="6.5"/>
    <s v="Kirin 9000"/>
    <x v="3"/>
    <s v="Black"/>
    <x v="0"/>
    <x v="1"/>
    <x v="0"/>
    <n v="699"/>
    <x v="295"/>
  </r>
  <r>
    <s v="P00515"/>
    <x v="1"/>
    <x v="1"/>
    <x v="0"/>
    <x v="0"/>
    <x v="0"/>
    <x v="1"/>
    <x v="8"/>
    <n v="48"/>
    <n v="6.1"/>
    <s v="Tensor G2"/>
    <x v="0"/>
    <s v="Blue"/>
    <x v="1"/>
    <x v="7"/>
    <x v="0"/>
    <n v="599"/>
    <x v="216"/>
  </r>
  <r>
    <s v="P00516"/>
    <x v="1"/>
    <x v="1"/>
    <x v="4"/>
    <x v="4"/>
    <x v="3"/>
    <x v="3"/>
    <x v="23"/>
    <n v="48"/>
    <n v="6.7"/>
    <s v="Tensor G2"/>
    <x v="0"/>
    <s v="Black"/>
    <x v="1"/>
    <x v="0"/>
    <x v="1"/>
    <n v="599"/>
    <x v="158"/>
  </r>
  <r>
    <s v="P00517"/>
    <x v="3"/>
    <x v="3"/>
    <x v="2"/>
    <x v="2"/>
    <x v="3"/>
    <x v="0"/>
    <x v="10"/>
    <n v="108"/>
    <n v="6.78"/>
    <s v="Snapdragon 8 Gen2"/>
    <x v="0"/>
    <s v="Blue"/>
    <x v="0"/>
    <x v="5"/>
    <x v="1"/>
    <n v="799"/>
    <x v="126"/>
  </r>
  <r>
    <s v="P00518"/>
    <x v="4"/>
    <x v="4"/>
    <x v="4"/>
    <x v="4"/>
    <x v="1"/>
    <x v="2"/>
    <x v="0"/>
    <n v="108"/>
    <n v="6.67"/>
    <s v="Dimensity 7200"/>
    <x v="1"/>
    <s v="Black"/>
    <x v="1"/>
    <x v="7"/>
    <x v="1"/>
    <n v="549"/>
    <x v="23"/>
  </r>
  <r>
    <s v="P00519"/>
    <x v="0"/>
    <x v="0"/>
    <x v="2"/>
    <x v="2"/>
    <x v="1"/>
    <x v="2"/>
    <x v="7"/>
    <n v="64"/>
    <n v="6.4"/>
    <s v="Dimensity 8100"/>
    <x v="2"/>
    <s v="Green"/>
    <x v="1"/>
    <x v="5"/>
    <x v="1"/>
    <n v="599"/>
    <x v="296"/>
  </r>
  <r>
    <s v="P00520"/>
    <x v="1"/>
    <x v="1"/>
    <x v="1"/>
    <x v="1"/>
    <x v="0"/>
    <x v="0"/>
    <x v="25"/>
    <n v="64"/>
    <n v="6.4"/>
    <s v="Tensor G2"/>
    <x v="3"/>
    <s v="Green"/>
    <x v="0"/>
    <x v="7"/>
    <x v="1"/>
    <n v="599"/>
    <x v="28"/>
  </r>
  <r>
    <s v="P00521"/>
    <x v="3"/>
    <x v="3"/>
    <x v="4"/>
    <x v="4"/>
    <x v="0"/>
    <x v="0"/>
    <x v="3"/>
    <n v="50"/>
    <n v="6.5"/>
    <s v="Snapdragon 8 Gen2"/>
    <x v="0"/>
    <s v="Black"/>
    <x v="1"/>
    <x v="7"/>
    <x v="1"/>
    <n v="799"/>
    <x v="227"/>
  </r>
  <r>
    <s v="P00522"/>
    <x v="1"/>
    <x v="1"/>
    <x v="3"/>
    <x v="3"/>
    <x v="2"/>
    <x v="2"/>
    <x v="24"/>
    <n v="12"/>
    <n v="6.5"/>
    <s v="Tensor G2"/>
    <x v="0"/>
    <s v="Black"/>
    <x v="1"/>
    <x v="5"/>
    <x v="1"/>
    <n v="599"/>
    <x v="188"/>
  </r>
  <r>
    <s v="P00523"/>
    <x v="2"/>
    <x v="2"/>
    <x v="0"/>
    <x v="0"/>
    <x v="2"/>
    <x v="0"/>
    <x v="13"/>
    <n v="64"/>
    <n v="6.4"/>
    <s v="Dimensity 8020"/>
    <x v="0"/>
    <s v="Silver"/>
    <x v="0"/>
    <x v="7"/>
    <x v="1"/>
    <n v="599"/>
    <x v="285"/>
  </r>
  <r>
    <s v="P00524"/>
    <x v="4"/>
    <x v="4"/>
    <x v="1"/>
    <x v="1"/>
    <x v="1"/>
    <x v="1"/>
    <x v="14"/>
    <n v="108"/>
    <n v="6.1"/>
    <s v="Dimensity 7200"/>
    <x v="0"/>
    <s v="Green"/>
    <x v="0"/>
    <x v="2"/>
    <x v="0"/>
    <n v="549"/>
    <x v="70"/>
  </r>
  <r>
    <s v="P00525"/>
    <x v="5"/>
    <x v="5"/>
    <x v="1"/>
    <x v="1"/>
    <x v="2"/>
    <x v="2"/>
    <x v="8"/>
    <n v="108"/>
    <n v="6.5"/>
    <s v="Dimensity 1300"/>
    <x v="1"/>
    <s v="Silver"/>
    <x v="0"/>
    <x v="2"/>
    <x v="1"/>
    <n v="499"/>
    <x v="30"/>
  </r>
  <r>
    <s v="P00526"/>
    <x v="7"/>
    <x v="11"/>
    <x v="3"/>
    <x v="3"/>
    <x v="1"/>
    <x v="1"/>
    <x v="13"/>
    <n v="64"/>
    <n v="6.5"/>
    <s v="A15"/>
    <x v="1"/>
    <s v="Purple"/>
    <x v="1"/>
    <x v="6"/>
    <x v="1"/>
    <n v="899"/>
    <x v="145"/>
  </r>
  <r>
    <s v="P00527"/>
    <x v="5"/>
    <x v="5"/>
    <x v="0"/>
    <x v="0"/>
    <x v="2"/>
    <x v="0"/>
    <x v="1"/>
    <n v="108"/>
    <n v="6.67"/>
    <s v="Dimensity 1300"/>
    <x v="3"/>
    <s v="Purple"/>
    <x v="1"/>
    <x v="0"/>
    <x v="1"/>
    <n v="499"/>
    <x v="297"/>
  </r>
  <r>
    <s v="P00528"/>
    <x v="2"/>
    <x v="2"/>
    <x v="4"/>
    <x v="4"/>
    <x v="2"/>
    <x v="0"/>
    <x v="4"/>
    <n v="12"/>
    <n v="6.4"/>
    <s v="Dimensity 8020"/>
    <x v="3"/>
    <s v="White"/>
    <x v="0"/>
    <x v="6"/>
    <x v="0"/>
    <n v="599"/>
    <x v="298"/>
  </r>
  <r>
    <s v="P00529"/>
    <x v="0"/>
    <x v="0"/>
    <x v="4"/>
    <x v="4"/>
    <x v="1"/>
    <x v="0"/>
    <x v="25"/>
    <n v="64"/>
    <n v="6.2"/>
    <s v="Dimensity 8100"/>
    <x v="2"/>
    <s v="White"/>
    <x v="1"/>
    <x v="6"/>
    <x v="1"/>
    <n v="599"/>
    <x v="299"/>
  </r>
  <r>
    <s v="P00530"/>
    <x v="3"/>
    <x v="3"/>
    <x v="2"/>
    <x v="2"/>
    <x v="2"/>
    <x v="1"/>
    <x v="22"/>
    <n v="108"/>
    <n v="6.78"/>
    <s v="Snapdragon 8 Gen2"/>
    <x v="3"/>
    <s v="Blue"/>
    <x v="0"/>
    <x v="5"/>
    <x v="1"/>
    <n v="799"/>
    <x v="300"/>
  </r>
  <r>
    <s v="P00531"/>
    <x v="6"/>
    <x v="6"/>
    <x v="3"/>
    <x v="3"/>
    <x v="3"/>
    <x v="2"/>
    <x v="25"/>
    <n v="108"/>
    <n v="6.1"/>
    <s v="Snapdragon 778G"/>
    <x v="1"/>
    <s v="Black"/>
    <x v="0"/>
    <x v="4"/>
    <x v="0"/>
    <n v="399"/>
    <x v="42"/>
  </r>
  <r>
    <s v="P00532"/>
    <x v="9"/>
    <x v="10"/>
    <x v="3"/>
    <x v="3"/>
    <x v="2"/>
    <x v="2"/>
    <x v="8"/>
    <n v="12"/>
    <n v="6.4"/>
    <s v="Exynos 1380"/>
    <x v="0"/>
    <s v="Black"/>
    <x v="0"/>
    <x v="3"/>
    <x v="1"/>
    <n v="449"/>
    <x v="119"/>
  </r>
  <r>
    <s v="P00533"/>
    <x v="0"/>
    <x v="0"/>
    <x v="1"/>
    <x v="1"/>
    <x v="1"/>
    <x v="2"/>
    <x v="16"/>
    <n v="64"/>
    <n v="6.1"/>
    <s v="Dimensity 8100"/>
    <x v="0"/>
    <s v="Blue"/>
    <x v="0"/>
    <x v="1"/>
    <x v="0"/>
    <n v="599"/>
    <x v="301"/>
  </r>
  <r>
    <s v="P00534"/>
    <x v="9"/>
    <x v="10"/>
    <x v="0"/>
    <x v="0"/>
    <x v="0"/>
    <x v="3"/>
    <x v="12"/>
    <n v="64"/>
    <n v="6.5"/>
    <s v="Exynos 1380"/>
    <x v="0"/>
    <s v="White"/>
    <x v="1"/>
    <x v="7"/>
    <x v="1"/>
    <n v="449"/>
    <x v="302"/>
  </r>
  <r>
    <s v="P00535"/>
    <x v="8"/>
    <x v="8"/>
    <x v="2"/>
    <x v="2"/>
    <x v="0"/>
    <x v="2"/>
    <x v="25"/>
    <n v="50"/>
    <n v="6.78"/>
    <s v="Kirin 9000"/>
    <x v="1"/>
    <s v="Silver"/>
    <x v="0"/>
    <x v="3"/>
    <x v="1"/>
    <n v="699"/>
    <x v="40"/>
  </r>
  <r>
    <s v="P00536"/>
    <x v="6"/>
    <x v="6"/>
    <x v="3"/>
    <x v="3"/>
    <x v="3"/>
    <x v="2"/>
    <x v="14"/>
    <n v="48"/>
    <n v="6.1"/>
    <s v="Snapdragon 778G"/>
    <x v="0"/>
    <s v="Silver"/>
    <x v="1"/>
    <x v="2"/>
    <x v="1"/>
    <n v="399"/>
    <x v="100"/>
  </r>
  <r>
    <s v="P00537"/>
    <x v="9"/>
    <x v="12"/>
    <x v="0"/>
    <x v="0"/>
    <x v="2"/>
    <x v="0"/>
    <x v="15"/>
    <n v="50"/>
    <n v="6.1"/>
    <s v="Snapdragon 8 Gen 1"/>
    <x v="3"/>
    <s v="Green"/>
    <x v="1"/>
    <x v="4"/>
    <x v="1"/>
    <n v="999"/>
    <x v="303"/>
  </r>
  <r>
    <s v="P00538"/>
    <x v="5"/>
    <x v="5"/>
    <x v="3"/>
    <x v="3"/>
    <x v="0"/>
    <x v="0"/>
    <x v="23"/>
    <n v="64"/>
    <n v="6.5"/>
    <s v="Dimensity 1300"/>
    <x v="0"/>
    <s v="Purple"/>
    <x v="1"/>
    <x v="5"/>
    <x v="0"/>
    <n v="499"/>
    <x v="304"/>
  </r>
  <r>
    <s v="P00539"/>
    <x v="5"/>
    <x v="5"/>
    <x v="2"/>
    <x v="2"/>
    <x v="3"/>
    <x v="1"/>
    <x v="5"/>
    <n v="50"/>
    <n v="6.7"/>
    <s v="Dimensity 1300"/>
    <x v="3"/>
    <s v="Blue"/>
    <x v="0"/>
    <x v="6"/>
    <x v="1"/>
    <n v="499"/>
    <x v="16"/>
  </r>
  <r>
    <s v="P00540"/>
    <x v="8"/>
    <x v="8"/>
    <x v="0"/>
    <x v="0"/>
    <x v="3"/>
    <x v="2"/>
    <x v="19"/>
    <n v="64"/>
    <n v="6.2"/>
    <s v="Kirin 9000"/>
    <x v="3"/>
    <s v="Silver"/>
    <x v="0"/>
    <x v="1"/>
    <x v="0"/>
    <n v="699"/>
    <x v="205"/>
  </r>
  <r>
    <s v="P00541"/>
    <x v="9"/>
    <x v="10"/>
    <x v="2"/>
    <x v="2"/>
    <x v="0"/>
    <x v="3"/>
    <x v="17"/>
    <n v="48"/>
    <n v="6.1"/>
    <s v="Exynos 1380"/>
    <x v="2"/>
    <s v="Purple"/>
    <x v="1"/>
    <x v="5"/>
    <x v="1"/>
    <n v="449"/>
    <x v="299"/>
  </r>
  <r>
    <s v="P00542"/>
    <x v="7"/>
    <x v="7"/>
    <x v="2"/>
    <x v="2"/>
    <x v="0"/>
    <x v="3"/>
    <x v="21"/>
    <n v="50"/>
    <n v="6.7"/>
    <s v="A15"/>
    <x v="1"/>
    <s v="Black"/>
    <x v="0"/>
    <x v="4"/>
    <x v="0"/>
    <n v="799"/>
    <x v="305"/>
  </r>
  <r>
    <s v="P00543"/>
    <x v="4"/>
    <x v="4"/>
    <x v="0"/>
    <x v="0"/>
    <x v="3"/>
    <x v="2"/>
    <x v="25"/>
    <n v="108"/>
    <n v="6.7"/>
    <s v="Dimensity 7200"/>
    <x v="0"/>
    <s v="Purple"/>
    <x v="1"/>
    <x v="1"/>
    <x v="1"/>
    <n v="549"/>
    <x v="171"/>
  </r>
  <r>
    <s v="P00544"/>
    <x v="1"/>
    <x v="1"/>
    <x v="2"/>
    <x v="2"/>
    <x v="1"/>
    <x v="1"/>
    <x v="2"/>
    <n v="108"/>
    <n v="6.5"/>
    <s v="Tensor G2"/>
    <x v="1"/>
    <s v="Blue"/>
    <x v="0"/>
    <x v="2"/>
    <x v="1"/>
    <n v="599"/>
    <x v="1"/>
  </r>
  <r>
    <s v="P00545"/>
    <x v="0"/>
    <x v="0"/>
    <x v="0"/>
    <x v="0"/>
    <x v="0"/>
    <x v="3"/>
    <x v="6"/>
    <n v="48"/>
    <n v="6.5"/>
    <s v="Dimensity 8100"/>
    <x v="0"/>
    <s v="Purple"/>
    <x v="0"/>
    <x v="1"/>
    <x v="0"/>
    <n v="599"/>
    <x v="306"/>
  </r>
  <r>
    <s v="P00546"/>
    <x v="1"/>
    <x v="1"/>
    <x v="2"/>
    <x v="2"/>
    <x v="2"/>
    <x v="2"/>
    <x v="9"/>
    <n v="12"/>
    <n v="6.5"/>
    <s v="Tensor G2"/>
    <x v="0"/>
    <s v="Silver"/>
    <x v="1"/>
    <x v="3"/>
    <x v="0"/>
    <n v="599"/>
    <x v="306"/>
  </r>
  <r>
    <s v="P00547"/>
    <x v="6"/>
    <x v="6"/>
    <x v="2"/>
    <x v="2"/>
    <x v="1"/>
    <x v="0"/>
    <x v="14"/>
    <n v="64"/>
    <n v="6.1"/>
    <s v="Snapdragon 778G"/>
    <x v="1"/>
    <s v="Green"/>
    <x v="0"/>
    <x v="1"/>
    <x v="0"/>
    <n v="399"/>
    <x v="42"/>
  </r>
  <r>
    <s v="P00548"/>
    <x v="0"/>
    <x v="0"/>
    <x v="3"/>
    <x v="3"/>
    <x v="2"/>
    <x v="1"/>
    <x v="3"/>
    <n v="50"/>
    <n v="6.67"/>
    <s v="Dimensity 8100"/>
    <x v="0"/>
    <s v="White"/>
    <x v="0"/>
    <x v="6"/>
    <x v="0"/>
    <n v="599"/>
    <x v="73"/>
  </r>
  <r>
    <s v="P00549"/>
    <x v="5"/>
    <x v="5"/>
    <x v="3"/>
    <x v="3"/>
    <x v="0"/>
    <x v="0"/>
    <x v="24"/>
    <n v="12"/>
    <n v="6.5"/>
    <s v="Dimensity 1300"/>
    <x v="0"/>
    <s v="Silver"/>
    <x v="0"/>
    <x v="2"/>
    <x v="1"/>
    <n v="499"/>
    <x v="210"/>
  </r>
  <r>
    <s v="P00550"/>
    <x v="3"/>
    <x v="3"/>
    <x v="3"/>
    <x v="3"/>
    <x v="3"/>
    <x v="1"/>
    <x v="16"/>
    <n v="108"/>
    <n v="6.7"/>
    <s v="Snapdragon 8 Gen2"/>
    <x v="0"/>
    <s v="Purple"/>
    <x v="0"/>
    <x v="4"/>
    <x v="0"/>
    <n v="799"/>
    <x v="307"/>
  </r>
  <r>
    <s v="P00551"/>
    <x v="0"/>
    <x v="0"/>
    <x v="1"/>
    <x v="1"/>
    <x v="2"/>
    <x v="0"/>
    <x v="1"/>
    <n v="64"/>
    <n v="6.5"/>
    <s v="Dimensity 8100"/>
    <x v="3"/>
    <s v="Green"/>
    <x v="0"/>
    <x v="6"/>
    <x v="1"/>
    <n v="599"/>
    <x v="91"/>
  </r>
  <r>
    <s v="P00552"/>
    <x v="3"/>
    <x v="3"/>
    <x v="1"/>
    <x v="1"/>
    <x v="2"/>
    <x v="0"/>
    <x v="12"/>
    <n v="108"/>
    <n v="6.2"/>
    <s v="Snapdragon 8 Gen2"/>
    <x v="3"/>
    <s v="Blue"/>
    <x v="0"/>
    <x v="1"/>
    <x v="1"/>
    <n v="799"/>
    <x v="251"/>
  </r>
  <r>
    <s v="P00553"/>
    <x v="5"/>
    <x v="5"/>
    <x v="2"/>
    <x v="2"/>
    <x v="1"/>
    <x v="2"/>
    <x v="2"/>
    <n v="64"/>
    <n v="6.67"/>
    <s v="Dimensity 1300"/>
    <x v="0"/>
    <s v="White"/>
    <x v="1"/>
    <x v="3"/>
    <x v="0"/>
    <n v="499"/>
    <x v="130"/>
  </r>
  <r>
    <s v="P00554"/>
    <x v="1"/>
    <x v="1"/>
    <x v="0"/>
    <x v="0"/>
    <x v="0"/>
    <x v="3"/>
    <x v="5"/>
    <n v="50"/>
    <n v="6.1"/>
    <s v="Tensor G2"/>
    <x v="3"/>
    <s v="Silver"/>
    <x v="1"/>
    <x v="0"/>
    <x v="1"/>
    <n v="599"/>
    <x v="308"/>
  </r>
  <r>
    <s v="P00555"/>
    <x v="3"/>
    <x v="3"/>
    <x v="2"/>
    <x v="2"/>
    <x v="1"/>
    <x v="0"/>
    <x v="11"/>
    <n v="108"/>
    <n v="6.2"/>
    <s v="Snapdragon 8 Gen2"/>
    <x v="3"/>
    <s v="Silver"/>
    <x v="1"/>
    <x v="5"/>
    <x v="1"/>
    <n v="799"/>
    <x v="40"/>
  </r>
  <r>
    <s v="P00556"/>
    <x v="9"/>
    <x v="10"/>
    <x v="1"/>
    <x v="1"/>
    <x v="1"/>
    <x v="2"/>
    <x v="24"/>
    <n v="48"/>
    <n v="6.2"/>
    <s v="Exynos 1380"/>
    <x v="2"/>
    <s v="Purple"/>
    <x v="0"/>
    <x v="3"/>
    <x v="1"/>
    <n v="449"/>
    <x v="309"/>
  </r>
  <r>
    <s v="P00557"/>
    <x v="0"/>
    <x v="0"/>
    <x v="4"/>
    <x v="4"/>
    <x v="0"/>
    <x v="0"/>
    <x v="19"/>
    <n v="12"/>
    <n v="6.2"/>
    <s v="Dimensity 8100"/>
    <x v="0"/>
    <s v="White"/>
    <x v="0"/>
    <x v="6"/>
    <x v="1"/>
    <n v="599"/>
    <x v="97"/>
  </r>
  <r>
    <s v="P00558"/>
    <x v="2"/>
    <x v="2"/>
    <x v="4"/>
    <x v="4"/>
    <x v="0"/>
    <x v="2"/>
    <x v="17"/>
    <n v="108"/>
    <n v="6.1"/>
    <s v="Dimensity 8020"/>
    <x v="1"/>
    <s v="White"/>
    <x v="0"/>
    <x v="3"/>
    <x v="0"/>
    <n v="599"/>
    <x v="201"/>
  </r>
  <r>
    <s v="P00559"/>
    <x v="2"/>
    <x v="2"/>
    <x v="4"/>
    <x v="4"/>
    <x v="0"/>
    <x v="3"/>
    <x v="20"/>
    <n v="12"/>
    <n v="6.4"/>
    <s v="Dimensity 8020"/>
    <x v="2"/>
    <s v="Blue"/>
    <x v="1"/>
    <x v="0"/>
    <x v="0"/>
    <n v="599"/>
    <x v="310"/>
  </r>
  <r>
    <s v="P00560"/>
    <x v="1"/>
    <x v="1"/>
    <x v="3"/>
    <x v="3"/>
    <x v="0"/>
    <x v="1"/>
    <x v="12"/>
    <n v="48"/>
    <n v="6.5"/>
    <s v="Tensor G2"/>
    <x v="0"/>
    <s v="White"/>
    <x v="0"/>
    <x v="7"/>
    <x v="0"/>
    <n v="599"/>
    <x v="105"/>
  </r>
  <r>
    <s v="P00561"/>
    <x v="6"/>
    <x v="6"/>
    <x v="3"/>
    <x v="3"/>
    <x v="1"/>
    <x v="1"/>
    <x v="5"/>
    <n v="50"/>
    <n v="6.78"/>
    <s v="Snapdragon 778G"/>
    <x v="3"/>
    <s v="Black"/>
    <x v="1"/>
    <x v="5"/>
    <x v="0"/>
    <n v="399"/>
    <x v="42"/>
  </r>
  <r>
    <s v="P00562"/>
    <x v="5"/>
    <x v="5"/>
    <x v="3"/>
    <x v="3"/>
    <x v="3"/>
    <x v="1"/>
    <x v="5"/>
    <n v="64"/>
    <n v="6.5"/>
    <s v="Dimensity 1300"/>
    <x v="0"/>
    <s v="Blue"/>
    <x v="1"/>
    <x v="2"/>
    <x v="1"/>
    <n v="499"/>
    <x v="269"/>
  </r>
  <r>
    <s v="P00563"/>
    <x v="6"/>
    <x v="9"/>
    <x v="1"/>
    <x v="1"/>
    <x v="1"/>
    <x v="2"/>
    <x v="1"/>
    <n v="48"/>
    <n v="6.78"/>
    <s v="Snapdragon 680"/>
    <x v="1"/>
    <s v="Silver"/>
    <x v="0"/>
    <x v="5"/>
    <x v="1"/>
    <n v="299"/>
    <x v="22"/>
  </r>
  <r>
    <s v="P00564"/>
    <x v="2"/>
    <x v="2"/>
    <x v="0"/>
    <x v="0"/>
    <x v="0"/>
    <x v="2"/>
    <x v="24"/>
    <n v="50"/>
    <n v="6.7"/>
    <s v="Dimensity 8020"/>
    <x v="3"/>
    <s v="Black"/>
    <x v="1"/>
    <x v="7"/>
    <x v="0"/>
    <n v="599"/>
    <x v="50"/>
  </r>
  <r>
    <s v="P00565"/>
    <x v="1"/>
    <x v="1"/>
    <x v="2"/>
    <x v="2"/>
    <x v="0"/>
    <x v="2"/>
    <x v="6"/>
    <n v="108"/>
    <n v="6.2"/>
    <s v="Tensor G2"/>
    <x v="3"/>
    <s v="White"/>
    <x v="1"/>
    <x v="1"/>
    <x v="0"/>
    <n v="599"/>
    <x v="216"/>
  </r>
  <r>
    <s v="P00566"/>
    <x v="6"/>
    <x v="6"/>
    <x v="0"/>
    <x v="0"/>
    <x v="2"/>
    <x v="1"/>
    <x v="5"/>
    <n v="48"/>
    <n v="6.7"/>
    <s v="Snapdragon 778G"/>
    <x v="1"/>
    <s v="White"/>
    <x v="1"/>
    <x v="6"/>
    <x v="1"/>
    <n v="399"/>
    <x v="42"/>
  </r>
  <r>
    <s v="P00567"/>
    <x v="3"/>
    <x v="3"/>
    <x v="1"/>
    <x v="1"/>
    <x v="1"/>
    <x v="2"/>
    <x v="0"/>
    <n v="108"/>
    <n v="6.2"/>
    <s v="Snapdragon 8 Gen2"/>
    <x v="3"/>
    <s v="Purple"/>
    <x v="0"/>
    <x v="4"/>
    <x v="0"/>
    <n v="799"/>
    <x v="311"/>
  </r>
  <r>
    <s v="P00568"/>
    <x v="0"/>
    <x v="0"/>
    <x v="3"/>
    <x v="3"/>
    <x v="3"/>
    <x v="3"/>
    <x v="12"/>
    <n v="50"/>
    <n v="6.5"/>
    <s v="Dimensity 8100"/>
    <x v="1"/>
    <s v="Silver"/>
    <x v="1"/>
    <x v="3"/>
    <x v="1"/>
    <n v="599"/>
    <x v="89"/>
  </r>
  <r>
    <s v="P00569"/>
    <x v="6"/>
    <x v="9"/>
    <x v="2"/>
    <x v="2"/>
    <x v="0"/>
    <x v="2"/>
    <x v="6"/>
    <n v="64"/>
    <n v="6.5"/>
    <s v="Snapdragon 680"/>
    <x v="1"/>
    <s v="Blue"/>
    <x v="1"/>
    <x v="4"/>
    <x v="1"/>
    <n v="299"/>
    <x v="22"/>
  </r>
  <r>
    <s v="P00570"/>
    <x v="3"/>
    <x v="3"/>
    <x v="4"/>
    <x v="4"/>
    <x v="0"/>
    <x v="2"/>
    <x v="13"/>
    <n v="108"/>
    <n v="6.1"/>
    <s v="Snapdragon 8 Gen2"/>
    <x v="0"/>
    <s v="Purple"/>
    <x v="1"/>
    <x v="3"/>
    <x v="1"/>
    <n v="799"/>
    <x v="235"/>
  </r>
  <r>
    <s v="P00571"/>
    <x v="2"/>
    <x v="2"/>
    <x v="4"/>
    <x v="4"/>
    <x v="2"/>
    <x v="2"/>
    <x v="8"/>
    <n v="108"/>
    <n v="6.5"/>
    <s v="Dimensity 8020"/>
    <x v="1"/>
    <s v="Blue"/>
    <x v="0"/>
    <x v="7"/>
    <x v="1"/>
    <n v="599"/>
    <x v="234"/>
  </r>
  <r>
    <s v="P00572"/>
    <x v="9"/>
    <x v="10"/>
    <x v="4"/>
    <x v="4"/>
    <x v="1"/>
    <x v="1"/>
    <x v="16"/>
    <n v="64"/>
    <n v="6.5"/>
    <s v="Exynos 1380"/>
    <x v="3"/>
    <s v="Purple"/>
    <x v="0"/>
    <x v="4"/>
    <x v="1"/>
    <n v="449"/>
    <x v="17"/>
  </r>
  <r>
    <s v="P00573"/>
    <x v="7"/>
    <x v="11"/>
    <x v="2"/>
    <x v="2"/>
    <x v="2"/>
    <x v="3"/>
    <x v="8"/>
    <n v="12"/>
    <n v="6.7"/>
    <s v="A15"/>
    <x v="0"/>
    <s v="Silver"/>
    <x v="0"/>
    <x v="1"/>
    <x v="0"/>
    <n v="899"/>
    <x v="283"/>
  </r>
  <r>
    <s v="P00574"/>
    <x v="8"/>
    <x v="8"/>
    <x v="4"/>
    <x v="4"/>
    <x v="3"/>
    <x v="3"/>
    <x v="2"/>
    <n v="50"/>
    <n v="6.4"/>
    <s v="Kirin 9000"/>
    <x v="3"/>
    <s v="White"/>
    <x v="0"/>
    <x v="7"/>
    <x v="1"/>
    <n v="699"/>
    <x v="312"/>
  </r>
  <r>
    <s v="P00575"/>
    <x v="5"/>
    <x v="5"/>
    <x v="2"/>
    <x v="2"/>
    <x v="0"/>
    <x v="2"/>
    <x v="21"/>
    <n v="50"/>
    <n v="6.4"/>
    <s v="Dimensity 1300"/>
    <x v="2"/>
    <s v="Silver"/>
    <x v="0"/>
    <x v="6"/>
    <x v="0"/>
    <n v="499"/>
    <x v="165"/>
  </r>
  <r>
    <s v="P00576"/>
    <x v="7"/>
    <x v="11"/>
    <x v="4"/>
    <x v="4"/>
    <x v="1"/>
    <x v="2"/>
    <x v="20"/>
    <n v="64"/>
    <n v="6.67"/>
    <s v="A15"/>
    <x v="0"/>
    <s v="White"/>
    <x v="1"/>
    <x v="1"/>
    <x v="1"/>
    <n v="899"/>
    <x v="275"/>
  </r>
  <r>
    <s v="P00577"/>
    <x v="2"/>
    <x v="2"/>
    <x v="0"/>
    <x v="0"/>
    <x v="2"/>
    <x v="1"/>
    <x v="19"/>
    <n v="12"/>
    <n v="6.4"/>
    <s v="Dimensity 8020"/>
    <x v="3"/>
    <s v="Purple"/>
    <x v="1"/>
    <x v="7"/>
    <x v="0"/>
    <n v="599"/>
    <x v="144"/>
  </r>
  <r>
    <s v="P00578"/>
    <x v="7"/>
    <x v="13"/>
    <x v="3"/>
    <x v="3"/>
    <x v="0"/>
    <x v="1"/>
    <x v="13"/>
    <n v="64"/>
    <n v="6.1"/>
    <s v="A14"/>
    <x v="0"/>
    <s v="Blue"/>
    <x v="0"/>
    <x v="2"/>
    <x v="0"/>
    <n v="699"/>
    <x v="291"/>
  </r>
  <r>
    <s v="P00579"/>
    <x v="1"/>
    <x v="1"/>
    <x v="0"/>
    <x v="0"/>
    <x v="2"/>
    <x v="1"/>
    <x v="2"/>
    <n v="48"/>
    <n v="6.7"/>
    <s v="Tensor G2"/>
    <x v="0"/>
    <s v="Blue"/>
    <x v="1"/>
    <x v="0"/>
    <x v="0"/>
    <n v="599"/>
    <x v="238"/>
  </r>
  <r>
    <s v="P00580"/>
    <x v="2"/>
    <x v="2"/>
    <x v="3"/>
    <x v="3"/>
    <x v="2"/>
    <x v="1"/>
    <x v="17"/>
    <n v="50"/>
    <n v="6.67"/>
    <s v="Dimensity 8020"/>
    <x v="3"/>
    <s v="White"/>
    <x v="0"/>
    <x v="0"/>
    <x v="0"/>
    <n v="599"/>
    <x v="243"/>
  </r>
  <r>
    <s v="P00581"/>
    <x v="9"/>
    <x v="12"/>
    <x v="0"/>
    <x v="0"/>
    <x v="1"/>
    <x v="0"/>
    <x v="21"/>
    <n v="64"/>
    <n v="6.1"/>
    <s v="Snapdragon 8 Gen 1"/>
    <x v="1"/>
    <s v="Green"/>
    <x v="1"/>
    <x v="5"/>
    <x v="1"/>
    <n v="999"/>
    <x v="313"/>
  </r>
  <r>
    <s v="P00582"/>
    <x v="3"/>
    <x v="3"/>
    <x v="2"/>
    <x v="2"/>
    <x v="3"/>
    <x v="1"/>
    <x v="12"/>
    <n v="12"/>
    <n v="6.7"/>
    <s v="Snapdragon 8 Gen2"/>
    <x v="3"/>
    <s v="Silver"/>
    <x v="1"/>
    <x v="3"/>
    <x v="1"/>
    <n v="799"/>
    <x v="117"/>
  </r>
  <r>
    <s v="P00583"/>
    <x v="8"/>
    <x v="8"/>
    <x v="2"/>
    <x v="2"/>
    <x v="2"/>
    <x v="3"/>
    <x v="1"/>
    <n v="64"/>
    <n v="6.7"/>
    <s v="Kirin 9000"/>
    <x v="3"/>
    <s v="Silver"/>
    <x v="0"/>
    <x v="1"/>
    <x v="1"/>
    <n v="699"/>
    <x v="230"/>
  </r>
  <r>
    <s v="P00584"/>
    <x v="2"/>
    <x v="2"/>
    <x v="1"/>
    <x v="1"/>
    <x v="2"/>
    <x v="0"/>
    <x v="19"/>
    <n v="48"/>
    <n v="6.1"/>
    <s v="Dimensity 8020"/>
    <x v="3"/>
    <s v="Green"/>
    <x v="0"/>
    <x v="4"/>
    <x v="1"/>
    <n v="599"/>
    <x v="178"/>
  </r>
  <r>
    <s v="P00585"/>
    <x v="3"/>
    <x v="3"/>
    <x v="2"/>
    <x v="2"/>
    <x v="1"/>
    <x v="0"/>
    <x v="8"/>
    <n v="12"/>
    <n v="6.78"/>
    <s v="Snapdragon 8 Gen2"/>
    <x v="0"/>
    <s v="Black"/>
    <x v="1"/>
    <x v="3"/>
    <x v="0"/>
    <n v="799"/>
    <x v="138"/>
  </r>
  <r>
    <s v="P00586"/>
    <x v="5"/>
    <x v="5"/>
    <x v="4"/>
    <x v="4"/>
    <x v="0"/>
    <x v="1"/>
    <x v="9"/>
    <n v="50"/>
    <n v="6.7"/>
    <s v="Dimensity 1300"/>
    <x v="3"/>
    <s v="Green"/>
    <x v="1"/>
    <x v="2"/>
    <x v="0"/>
    <n v="499"/>
    <x v="16"/>
  </r>
  <r>
    <s v="P00587"/>
    <x v="8"/>
    <x v="8"/>
    <x v="1"/>
    <x v="1"/>
    <x v="0"/>
    <x v="1"/>
    <x v="4"/>
    <n v="48"/>
    <n v="6.7"/>
    <s v="Kirin 9000"/>
    <x v="0"/>
    <s v="Blue"/>
    <x v="1"/>
    <x v="5"/>
    <x v="1"/>
    <n v="699"/>
    <x v="295"/>
  </r>
  <r>
    <s v="P00588"/>
    <x v="7"/>
    <x v="11"/>
    <x v="0"/>
    <x v="0"/>
    <x v="2"/>
    <x v="0"/>
    <x v="6"/>
    <n v="48"/>
    <n v="6.7"/>
    <s v="A15"/>
    <x v="0"/>
    <s v="Blue"/>
    <x v="1"/>
    <x v="2"/>
    <x v="0"/>
    <n v="899"/>
    <x v="110"/>
  </r>
  <r>
    <s v="P00589"/>
    <x v="6"/>
    <x v="9"/>
    <x v="2"/>
    <x v="2"/>
    <x v="0"/>
    <x v="2"/>
    <x v="13"/>
    <n v="12"/>
    <n v="6.1"/>
    <s v="Snapdragon 680"/>
    <x v="1"/>
    <s v="Purple"/>
    <x v="0"/>
    <x v="1"/>
    <x v="0"/>
    <n v="299"/>
    <x v="22"/>
  </r>
  <r>
    <s v="P00590"/>
    <x v="2"/>
    <x v="2"/>
    <x v="1"/>
    <x v="1"/>
    <x v="3"/>
    <x v="1"/>
    <x v="3"/>
    <n v="50"/>
    <n v="6.4"/>
    <s v="Dimensity 8020"/>
    <x v="0"/>
    <s v="Black"/>
    <x v="0"/>
    <x v="2"/>
    <x v="1"/>
    <n v="599"/>
    <x v="229"/>
  </r>
  <r>
    <s v="P00591"/>
    <x v="0"/>
    <x v="0"/>
    <x v="2"/>
    <x v="2"/>
    <x v="1"/>
    <x v="0"/>
    <x v="0"/>
    <n v="48"/>
    <n v="6.7"/>
    <s v="Dimensity 8100"/>
    <x v="1"/>
    <s v="Purple"/>
    <x v="1"/>
    <x v="4"/>
    <x v="1"/>
    <n v="599"/>
    <x v="314"/>
  </r>
  <r>
    <s v="P00592"/>
    <x v="0"/>
    <x v="0"/>
    <x v="2"/>
    <x v="2"/>
    <x v="2"/>
    <x v="1"/>
    <x v="17"/>
    <n v="108"/>
    <n v="6.1"/>
    <s v="Dimensity 8100"/>
    <x v="3"/>
    <s v="Blue"/>
    <x v="0"/>
    <x v="0"/>
    <x v="1"/>
    <n v="599"/>
    <x v="315"/>
  </r>
  <r>
    <s v="P00593"/>
    <x v="5"/>
    <x v="5"/>
    <x v="2"/>
    <x v="2"/>
    <x v="0"/>
    <x v="1"/>
    <x v="10"/>
    <n v="64"/>
    <n v="6.1"/>
    <s v="Dimensity 1300"/>
    <x v="3"/>
    <s v="White"/>
    <x v="1"/>
    <x v="0"/>
    <x v="0"/>
    <n v="499"/>
    <x v="16"/>
  </r>
  <r>
    <s v="P00594"/>
    <x v="2"/>
    <x v="2"/>
    <x v="1"/>
    <x v="1"/>
    <x v="2"/>
    <x v="1"/>
    <x v="5"/>
    <n v="108"/>
    <n v="6.4"/>
    <s v="Dimensity 8020"/>
    <x v="2"/>
    <s v="White"/>
    <x v="1"/>
    <x v="1"/>
    <x v="0"/>
    <n v="599"/>
    <x v="316"/>
  </r>
  <r>
    <s v="P00595"/>
    <x v="7"/>
    <x v="7"/>
    <x v="3"/>
    <x v="3"/>
    <x v="0"/>
    <x v="2"/>
    <x v="12"/>
    <n v="108"/>
    <n v="6.7"/>
    <s v="A15"/>
    <x v="1"/>
    <s v="Black"/>
    <x v="0"/>
    <x v="0"/>
    <x v="0"/>
    <n v="799"/>
    <x v="168"/>
  </r>
  <r>
    <s v="P00596"/>
    <x v="9"/>
    <x v="12"/>
    <x v="2"/>
    <x v="2"/>
    <x v="1"/>
    <x v="1"/>
    <x v="15"/>
    <n v="12"/>
    <n v="6.78"/>
    <s v="Snapdragon 8 Gen 1"/>
    <x v="0"/>
    <s v="Purple"/>
    <x v="0"/>
    <x v="6"/>
    <x v="0"/>
    <n v="999"/>
    <x v="280"/>
  </r>
  <r>
    <s v="P00597"/>
    <x v="6"/>
    <x v="9"/>
    <x v="4"/>
    <x v="4"/>
    <x v="1"/>
    <x v="2"/>
    <x v="5"/>
    <n v="64"/>
    <n v="6.78"/>
    <s v="Snapdragon 680"/>
    <x v="2"/>
    <s v="Purple"/>
    <x v="0"/>
    <x v="7"/>
    <x v="1"/>
    <n v="299"/>
    <x v="317"/>
  </r>
  <r>
    <s v="P00598"/>
    <x v="2"/>
    <x v="2"/>
    <x v="1"/>
    <x v="1"/>
    <x v="1"/>
    <x v="3"/>
    <x v="23"/>
    <n v="12"/>
    <n v="6.7"/>
    <s v="Dimensity 8020"/>
    <x v="0"/>
    <s v="Silver"/>
    <x v="1"/>
    <x v="7"/>
    <x v="0"/>
    <n v="599"/>
    <x v="185"/>
  </r>
  <r>
    <s v="P00599"/>
    <x v="3"/>
    <x v="3"/>
    <x v="0"/>
    <x v="0"/>
    <x v="0"/>
    <x v="3"/>
    <x v="3"/>
    <n v="48"/>
    <n v="6.4"/>
    <s v="Snapdragon 8 Gen2"/>
    <x v="0"/>
    <s v="Silver"/>
    <x v="0"/>
    <x v="2"/>
    <x v="0"/>
    <n v="799"/>
    <x v="318"/>
  </r>
  <r>
    <s v="P00600"/>
    <x v="6"/>
    <x v="9"/>
    <x v="3"/>
    <x v="3"/>
    <x v="2"/>
    <x v="2"/>
    <x v="4"/>
    <n v="64"/>
    <n v="6.7"/>
    <s v="Snapdragon 680"/>
    <x v="0"/>
    <s v="Black"/>
    <x v="0"/>
    <x v="0"/>
    <x v="0"/>
    <n v="299"/>
    <x v="319"/>
  </r>
  <r>
    <s v="P00601"/>
    <x v="8"/>
    <x v="8"/>
    <x v="0"/>
    <x v="0"/>
    <x v="2"/>
    <x v="2"/>
    <x v="8"/>
    <n v="48"/>
    <n v="6.7"/>
    <s v="Kirin 9000"/>
    <x v="3"/>
    <s v="Black"/>
    <x v="0"/>
    <x v="7"/>
    <x v="0"/>
    <n v="699"/>
    <x v="320"/>
  </r>
  <r>
    <s v="P00602"/>
    <x v="2"/>
    <x v="2"/>
    <x v="4"/>
    <x v="4"/>
    <x v="3"/>
    <x v="2"/>
    <x v="12"/>
    <n v="12"/>
    <n v="6.1"/>
    <s v="Dimensity 8020"/>
    <x v="3"/>
    <s v="Purple"/>
    <x v="0"/>
    <x v="3"/>
    <x v="0"/>
    <n v="599"/>
    <x v="225"/>
  </r>
  <r>
    <s v="P00603"/>
    <x v="5"/>
    <x v="5"/>
    <x v="3"/>
    <x v="3"/>
    <x v="1"/>
    <x v="2"/>
    <x v="14"/>
    <n v="108"/>
    <n v="6.67"/>
    <s v="Dimensity 1300"/>
    <x v="1"/>
    <s v="White"/>
    <x v="0"/>
    <x v="4"/>
    <x v="1"/>
    <n v="499"/>
    <x v="163"/>
  </r>
  <r>
    <s v="P00604"/>
    <x v="1"/>
    <x v="1"/>
    <x v="2"/>
    <x v="2"/>
    <x v="1"/>
    <x v="3"/>
    <x v="4"/>
    <n v="48"/>
    <n v="6.7"/>
    <s v="Tensor G2"/>
    <x v="0"/>
    <s v="Purple"/>
    <x v="0"/>
    <x v="1"/>
    <x v="0"/>
    <n v="599"/>
    <x v="269"/>
  </r>
  <r>
    <s v="P00605"/>
    <x v="6"/>
    <x v="9"/>
    <x v="1"/>
    <x v="1"/>
    <x v="2"/>
    <x v="2"/>
    <x v="0"/>
    <n v="12"/>
    <n v="6.2"/>
    <s v="Snapdragon 680"/>
    <x v="0"/>
    <s v="Purple"/>
    <x v="0"/>
    <x v="2"/>
    <x v="1"/>
    <n v="299"/>
    <x v="321"/>
  </r>
  <r>
    <s v="P00606"/>
    <x v="1"/>
    <x v="1"/>
    <x v="0"/>
    <x v="0"/>
    <x v="1"/>
    <x v="1"/>
    <x v="0"/>
    <n v="12"/>
    <n v="6.78"/>
    <s v="Tensor G2"/>
    <x v="3"/>
    <s v="White"/>
    <x v="1"/>
    <x v="1"/>
    <x v="1"/>
    <n v="599"/>
    <x v="1"/>
  </r>
  <r>
    <s v="P00607"/>
    <x v="1"/>
    <x v="1"/>
    <x v="3"/>
    <x v="3"/>
    <x v="2"/>
    <x v="0"/>
    <x v="18"/>
    <n v="48"/>
    <n v="6.4"/>
    <s v="Tensor G2"/>
    <x v="0"/>
    <s v="Blue"/>
    <x v="1"/>
    <x v="4"/>
    <x v="0"/>
    <n v="599"/>
    <x v="44"/>
  </r>
  <r>
    <s v="P00608"/>
    <x v="4"/>
    <x v="4"/>
    <x v="0"/>
    <x v="0"/>
    <x v="3"/>
    <x v="1"/>
    <x v="6"/>
    <n v="64"/>
    <n v="6.1"/>
    <s v="Dimensity 7200"/>
    <x v="3"/>
    <s v="Blue"/>
    <x v="1"/>
    <x v="2"/>
    <x v="1"/>
    <n v="549"/>
    <x v="322"/>
  </r>
  <r>
    <s v="P00609"/>
    <x v="0"/>
    <x v="0"/>
    <x v="0"/>
    <x v="0"/>
    <x v="2"/>
    <x v="0"/>
    <x v="21"/>
    <n v="50"/>
    <n v="6.5"/>
    <s v="Dimensity 8100"/>
    <x v="3"/>
    <s v="Black"/>
    <x v="0"/>
    <x v="2"/>
    <x v="0"/>
    <n v="599"/>
    <x v="323"/>
  </r>
  <r>
    <s v="P00610"/>
    <x v="5"/>
    <x v="5"/>
    <x v="1"/>
    <x v="1"/>
    <x v="2"/>
    <x v="0"/>
    <x v="18"/>
    <n v="50"/>
    <n v="6.2"/>
    <s v="Dimensity 1300"/>
    <x v="0"/>
    <s v="Silver"/>
    <x v="0"/>
    <x v="5"/>
    <x v="0"/>
    <n v="499"/>
    <x v="85"/>
  </r>
  <r>
    <s v="P00611"/>
    <x v="7"/>
    <x v="13"/>
    <x v="4"/>
    <x v="4"/>
    <x v="2"/>
    <x v="2"/>
    <x v="22"/>
    <n v="12"/>
    <n v="6.2"/>
    <s v="A14"/>
    <x v="3"/>
    <s v="Black"/>
    <x v="1"/>
    <x v="2"/>
    <x v="0"/>
    <n v="699"/>
    <x v="324"/>
  </r>
  <r>
    <s v="P00612"/>
    <x v="6"/>
    <x v="9"/>
    <x v="1"/>
    <x v="1"/>
    <x v="1"/>
    <x v="2"/>
    <x v="13"/>
    <n v="12"/>
    <n v="6.2"/>
    <s v="Snapdragon 680"/>
    <x v="1"/>
    <s v="Green"/>
    <x v="1"/>
    <x v="3"/>
    <x v="1"/>
    <n v="299"/>
    <x v="22"/>
  </r>
  <r>
    <s v="P00613"/>
    <x v="0"/>
    <x v="0"/>
    <x v="0"/>
    <x v="0"/>
    <x v="2"/>
    <x v="3"/>
    <x v="14"/>
    <n v="12"/>
    <n v="6.67"/>
    <s v="Dimensity 8100"/>
    <x v="0"/>
    <s v="Blue"/>
    <x v="1"/>
    <x v="2"/>
    <x v="0"/>
    <n v="599"/>
    <x v="70"/>
  </r>
  <r>
    <s v="P00614"/>
    <x v="0"/>
    <x v="0"/>
    <x v="4"/>
    <x v="4"/>
    <x v="0"/>
    <x v="2"/>
    <x v="20"/>
    <n v="64"/>
    <n v="6.67"/>
    <s v="Dimensity 8100"/>
    <x v="3"/>
    <s v="Silver"/>
    <x v="0"/>
    <x v="5"/>
    <x v="0"/>
    <n v="599"/>
    <x v="325"/>
  </r>
  <r>
    <s v="P00615"/>
    <x v="7"/>
    <x v="7"/>
    <x v="2"/>
    <x v="2"/>
    <x v="1"/>
    <x v="3"/>
    <x v="9"/>
    <n v="48"/>
    <n v="6.2"/>
    <s v="A15"/>
    <x v="3"/>
    <s v="Purple"/>
    <x v="1"/>
    <x v="3"/>
    <x v="0"/>
    <n v="799"/>
    <x v="288"/>
  </r>
  <r>
    <s v="P00616"/>
    <x v="9"/>
    <x v="10"/>
    <x v="3"/>
    <x v="3"/>
    <x v="3"/>
    <x v="3"/>
    <x v="20"/>
    <n v="108"/>
    <n v="6.2"/>
    <s v="Exynos 1380"/>
    <x v="1"/>
    <s v="Silver"/>
    <x v="1"/>
    <x v="5"/>
    <x v="1"/>
    <n v="449"/>
    <x v="17"/>
  </r>
  <r>
    <s v="P00617"/>
    <x v="8"/>
    <x v="8"/>
    <x v="1"/>
    <x v="1"/>
    <x v="2"/>
    <x v="2"/>
    <x v="2"/>
    <n v="108"/>
    <n v="6.2"/>
    <s v="Kirin 9000"/>
    <x v="3"/>
    <s v="Silver"/>
    <x v="1"/>
    <x v="1"/>
    <x v="0"/>
    <n v="699"/>
    <x v="326"/>
  </r>
  <r>
    <s v="P00618"/>
    <x v="4"/>
    <x v="4"/>
    <x v="3"/>
    <x v="3"/>
    <x v="2"/>
    <x v="0"/>
    <x v="3"/>
    <n v="50"/>
    <n v="6.1"/>
    <s v="Dimensity 7200"/>
    <x v="2"/>
    <s v="White"/>
    <x v="1"/>
    <x v="5"/>
    <x v="0"/>
    <n v="549"/>
    <x v="327"/>
  </r>
  <r>
    <s v="P00619"/>
    <x v="4"/>
    <x v="4"/>
    <x v="1"/>
    <x v="1"/>
    <x v="1"/>
    <x v="1"/>
    <x v="5"/>
    <n v="48"/>
    <n v="6.1"/>
    <s v="Dimensity 7200"/>
    <x v="1"/>
    <s v="Silver"/>
    <x v="1"/>
    <x v="0"/>
    <x v="1"/>
    <n v="549"/>
    <x v="9"/>
  </r>
  <r>
    <s v="P00620"/>
    <x v="9"/>
    <x v="10"/>
    <x v="4"/>
    <x v="4"/>
    <x v="1"/>
    <x v="3"/>
    <x v="20"/>
    <n v="12"/>
    <n v="6.4"/>
    <s v="Exynos 1380"/>
    <x v="1"/>
    <s v="Purple"/>
    <x v="1"/>
    <x v="1"/>
    <x v="0"/>
    <n v="449"/>
    <x v="17"/>
  </r>
  <r>
    <s v="P00621"/>
    <x v="9"/>
    <x v="10"/>
    <x v="3"/>
    <x v="3"/>
    <x v="2"/>
    <x v="0"/>
    <x v="13"/>
    <n v="48"/>
    <n v="6.1"/>
    <s v="Exynos 1380"/>
    <x v="1"/>
    <s v="Purple"/>
    <x v="0"/>
    <x v="2"/>
    <x v="1"/>
    <n v="449"/>
    <x v="17"/>
  </r>
  <r>
    <s v="P00622"/>
    <x v="7"/>
    <x v="13"/>
    <x v="0"/>
    <x v="0"/>
    <x v="1"/>
    <x v="1"/>
    <x v="12"/>
    <n v="64"/>
    <n v="6.78"/>
    <s v="A14"/>
    <x v="2"/>
    <s v="White"/>
    <x v="1"/>
    <x v="5"/>
    <x v="0"/>
    <n v="699"/>
    <x v="19"/>
  </r>
  <r>
    <s v="P00623"/>
    <x v="4"/>
    <x v="4"/>
    <x v="1"/>
    <x v="1"/>
    <x v="1"/>
    <x v="2"/>
    <x v="5"/>
    <n v="12"/>
    <n v="6.78"/>
    <s v="Dimensity 7200"/>
    <x v="0"/>
    <s v="Blue"/>
    <x v="0"/>
    <x v="3"/>
    <x v="0"/>
    <n v="549"/>
    <x v="128"/>
  </r>
  <r>
    <s v="P00624"/>
    <x v="9"/>
    <x v="12"/>
    <x v="0"/>
    <x v="0"/>
    <x v="1"/>
    <x v="3"/>
    <x v="19"/>
    <n v="12"/>
    <n v="6.7"/>
    <s v="Snapdragon 8 Gen 1"/>
    <x v="3"/>
    <s v="Black"/>
    <x v="1"/>
    <x v="7"/>
    <x v="0"/>
    <n v="999"/>
    <x v="328"/>
  </r>
  <r>
    <s v="P00625"/>
    <x v="8"/>
    <x v="8"/>
    <x v="2"/>
    <x v="2"/>
    <x v="1"/>
    <x v="1"/>
    <x v="14"/>
    <n v="48"/>
    <n v="6.5"/>
    <s v="Kirin 9000"/>
    <x v="3"/>
    <s v="Black"/>
    <x v="1"/>
    <x v="1"/>
    <x v="0"/>
    <n v="699"/>
    <x v="268"/>
  </r>
  <r>
    <s v="P00626"/>
    <x v="3"/>
    <x v="3"/>
    <x v="4"/>
    <x v="4"/>
    <x v="1"/>
    <x v="0"/>
    <x v="11"/>
    <n v="108"/>
    <n v="6.5"/>
    <s v="Snapdragon 8 Gen2"/>
    <x v="1"/>
    <s v="Purple"/>
    <x v="0"/>
    <x v="6"/>
    <x v="1"/>
    <n v="799"/>
    <x v="329"/>
  </r>
  <r>
    <s v="P00627"/>
    <x v="4"/>
    <x v="4"/>
    <x v="3"/>
    <x v="3"/>
    <x v="1"/>
    <x v="0"/>
    <x v="22"/>
    <n v="50"/>
    <n v="6.5"/>
    <s v="Dimensity 7200"/>
    <x v="0"/>
    <s v="Green"/>
    <x v="0"/>
    <x v="2"/>
    <x v="0"/>
    <n v="549"/>
    <x v="191"/>
  </r>
  <r>
    <s v="P00628"/>
    <x v="9"/>
    <x v="10"/>
    <x v="0"/>
    <x v="0"/>
    <x v="3"/>
    <x v="3"/>
    <x v="6"/>
    <n v="12"/>
    <n v="6.67"/>
    <s v="Exynos 1380"/>
    <x v="0"/>
    <s v="Silver"/>
    <x v="0"/>
    <x v="6"/>
    <x v="0"/>
    <n v="449"/>
    <x v="81"/>
  </r>
  <r>
    <s v="P00629"/>
    <x v="9"/>
    <x v="10"/>
    <x v="2"/>
    <x v="2"/>
    <x v="3"/>
    <x v="2"/>
    <x v="6"/>
    <n v="108"/>
    <n v="6.2"/>
    <s v="Exynos 1380"/>
    <x v="3"/>
    <s v="Black"/>
    <x v="1"/>
    <x v="6"/>
    <x v="0"/>
    <n v="449"/>
    <x v="203"/>
  </r>
  <r>
    <s v="P00630"/>
    <x v="4"/>
    <x v="4"/>
    <x v="1"/>
    <x v="1"/>
    <x v="0"/>
    <x v="2"/>
    <x v="23"/>
    <n v="50"/>
    <n v="6.2"/>
    <s v="Dimensity 7200"/>
    <x v="0"/>
    <s v="Silver"/>
    <x v="0"/>
    <x v="4"/>
    <x v="1"/>
    <n v="549"/>
    <x v="185"/>
  </r>
  <r>
    <s v="P00631"/>
    <x v="9"/>
    <x v="10"/>
    <x v="0"/>
    <x v="0"/>
    <x v="3"/>
    <x v="1"/>
    <x v="2"/>
    <n v="12"/>
    <n v="6.78"/>
    <s v="Exynos 1380"/>
    <x v="2"/>
    <s v="Purple"/>
    <x v="1"/>
    <x v="3"/>
    <x v="0"/>
    <n v="449"/>
    <x v="82"/>
  </r>
  <r>
    <s v="P00632"/>
    <x v="8"/>
    <x v="8"/>
    <x v="0"/>
    <x v="0"/>
    <x v="2"/>
    <x v="3"/>
    <x v="23"/>
    <n v="108"/>
    <n v="6.67"/>
    <s v="Kirin 9000"/>
    <x v="0"/>
    <s v="Blue"/>
    <x v="0"/>
    <x v="3"/>
    <x v="1"/>
    <n v="699"/>
    <x v="51"/>
  </r>
  <r>
    <s v="P00633"/>
    <x v="3"/>
    <x v="3"/>
    <x v="1"/>
    <x v="1"/>
    <x v="1"/>
    <x v="2"/>
    <x v="5"/>
    <n v="50"/>
    <n v="6.7"/>
    <s v="Snapdragon 8 Gen2"/>
    <x v="0"/>
    <s v="Silver"/>
    <x v="1"/>
    <x v="5"/>
    <x v="1"/>
    <n v="799"/>
    <x v="50"/>
  </r>
  <r>
    <s v="P00634"/>
    <x v="1"/>
    <x v="1"/>
    <x v="3"/>
    <x v="3"/>
    <x v="1"/>
    <x v="0"/>
    <x v="7"/>
    <n v="108"/>
    <n v="6.2"/>
    <s v="Tensor G2"/>
    <x v="3"/>
    <s v="Green"/>
    <x v="0"/>
    <x v="7"/>
    <x v="1"/>
    <n v="599"/>
    <x v="143"/>
  </r>
  <r>
    <s v="P00635"/>
    <x v="9"/>
    <x v="12"/>
    <x v="1"/>
    <x v="1"/>
    <x v="1"/>
    <x v="0"/>
    <x v="1"/>
    <n v="64"/>
    <n v="6.7"/>
    <s v="Snapdragon 8 Gen 1"/>
    <x v="0"/>
    <s v="Black"/>
    <x v="0"/>
    <x v="0"/>
    <x v="1"/>
    <n v="999"/>
    <x v="330"/>
  </r>
  <r>
    <s v="P00636"/>
    <x v="3"/>
    <x v="3"/>
    <x v="4"/>
    <x v="4"/>
    <x v="3"/>
    <x v="2"/>
    <x v="11"/>
    <n v="64"/>
    <n v="6.5"/>
    <s v="Snapdragon 8 Gen2"/>
    <x v="0"/>
    <s v="Blue"/>
    <x v="0"/>
    <x v="2"/>
    <x v="0"/>
    <n v="799"/>
    <x v="12"/>
  </r>
  <r>
    <s v="P00637"/>
    <x v="6"/>
    <x v="6"/>
    <x v="2"/>
    <x v="2"/>
    <x v="2"/>
    <x v="3"/>
    <x v="6"/>
    <n v="12"/>
    <n v="6.4"/>
    <s v="Snapdragon 778G"/>
    <x v="3"/>
    <s v="Black"/>
    <x v="0"/>
    <x v="3"/>
    <x v="0"/>
    <n v="399"/>
    <x v="260"/>
  </r>
  <r>
    <s v="P00638"/>
    <x v="8"/>
    <x v="8"/>
    <x v="4"/>
    <x v="4"/>
    <x v="1"/>
    <x v="3"/>
    <x v="6"/>
    <n v="64"/>
    <n v="6.4"/>
    <s v="Kirin 9000"/>
    <x v="1"/>
    <s v="Green"/>
    <x v="0"/>
    <x v="6"/>
    <x v="1"/>
    <n v="699"/>
    <x v="199"/>
  </r>
  <r>
    <s v="P00639"/>
    <x v="6"/>
    <x v="6"/>
    <x v="0"/>
    <x v="0"/>
    <x v="1"/>
    <x v="2"/>
    <x v="4"/>
    <n v="108"/>
    <n v="6.67"/>
    <s v="Snapdragon 778G"/>
    <x v="3"/>
    <s v="Blue"/>
    <x v="0"/>
    <x v="7"/>
    <x v="1"/>
    <n v="399"/>
    <x v="81"/>
  </r>
  <r>
    <s v="P00640"/>
    <x v="2"/>
    <x v="2"/>
    <x v="1"/>
    <x v="1"/>
    <x v="0"/>
    <x v="3"/>
    <x v="16"/>
    <n v="12"/>
    <n v="6.4"/>
    <s v="Dimensity 8020"/>
    <x v="1"/>
    <s v="Black"/>
    <x v="0"/>
    <x v="1"/>
    <x v="0"/>
    <n v="599"/>
    <x v="1"/>
  </r>
  <r>
    <s v="P00641"/>
    <x v="0"/>
    <x v="0"/>
    <x v="4"/>
    <x v="4"/>
    <x v="0"/>
    <x v="0"/>
    <x v="4"/>
    <n v="48"/>
    <n v="6.7"/>
    <s v="Dimensity 8100"/>
    <x v="1"/>
    <s v="Black"/>
    <x v="1"/>
    <x v="7"/>
    <x v="1"/>
    <n v="599"/>
    <x v="331"/>
  </r>
  <r>
    <s v="P00642"/>
    <x v="2"/>
    <x v="2"/>
    <x v="3"/>
    <x v="3"/>
    <x v="0"/>
    <x v="0"/>
    <x v="0"/>
    <n v="64"/>
    <n v="6.67"/>
    <s v="Dimensity 8020"/>
    <x v="3"/>
    <s v="Black"/>
    <x v="0"/>
    <x v="0"/>
    <x v="0"/>
    <n v="599"/>
    <x v="229"/>
  </r>
  <r>
    <s v="P00643"/>
    <x v="9"/>
    <x v="10"/>
    <x v="3"/>
    <x v="3"/>
    <x v="3"/>
    <x v="3"/>
    <x v="21"/>
    <n v="64"/>
    <n v="6.1"/>
    <s v="Exynos 1380"/>
    <x v="3"/>
    <s v="Purple"/>
    <x v="1"/>
    <x v="7"/>
    <x v="0"/>
    <n v="449"/>
    <x v="17"/>
  </r>
  <r>
    <s v="P00644"/>
    <x v="5"/>
    <x v="5"/>
    <x v="2"/>
    <x v="2"/>
    <x v="3"/>
    <x v="1"/>
    <x v="24"/>
    <n v="64"/>
    <n v="6.2"/>
    <s v="Dimensity 1300"/>
    <x v="0"/>
    <s v="Silver"/>
    <x v="0"/>
    <x v="7"/>
    <x v="0"/>
    <n v="499"/>
    <x v="265"/>
  </r>
  <r>
    <s v="P00645"/>
    <x v="0"/>
    <x v="0"/>
    <x v="2"/>
    <x v="2"/>
    <x v="3"/>
    <x v="1"/>
    <x v="23"/>
    <n v="64"/>
    <n v="6.2"/>
    <s v="Dimensity 8100"/>
    <x v="2"/>
    <s v="Silver"/>
    <x v="1"/>
    <x v="6"/>
    <x v="0"/>
    <n v="599"/>
    <x v="332"/>
  </r>
  <r>
    <s v="P00646"/>
    <x v="8"/>
    <x v="8"/>
    <x v="4"/>
    <x v="4"/>
    <x v="1"/>
    <x v="0"/>
    <x v="21"/>
    <n v="48"/>
    <n v="6.67"/>
    <s v="Kirin 9000"/>
    <x v="1"/>
    <s v="Blue"/>
    <x v="0"/>
    <x v="2"/>
    <x v="1"/>
    <n v="699"/>
    <x v="312"/>
  </r>
  <r>
    <s v="P00647"/>
    <x v="1"/>
    <x v="1"/>
    <x v="2"/>
    <x v="2"/>
    <x v="0"/>
    <x v="3"/>
    <x v="2"/>
    <n v="108"/>
    <n v="6.2"/>
    <s v="Tensor G2"/>
    <x v="0"/>
    <s v="Purple"/>
    <x v="0"/>
    <x v="6"/>
    <x v="0"/>
    <n v="599"/>
    <x v="323"/>
  </r>
  <r>
    <s v="P00648"/>
    <x v="6"/>
    <x v="6"/>
    <x v="3"/>
    <x v="3"/>
    <x v="3"/>
    <x v="1"/>
    <x v="15"/>
    <n v="64"/>
    <n v="6.78"/>
    <s v="Snapdragon 778G"/>
    <x v="0"/>
    <s v="Green"/>
    <x v="1"/>
    <x v="4"/>
    <x v="1"/>
    <n v="399"/>
    <x v="42"/>
  </r>
  <r>
    <s v="P00649"/>
    <x v="5"/>
    <x v="5"/>
    <x v="3"/>
    <x v="3"/>
    <x v="3"/>
    <x v="3"/>
    <x v="16"/>
    <n v="12"/>
    <n v="6.2"/>
    <s v="Dimensity 1300"/>
    <x v="1"/>
    <s v="Silver"/>
    <x v="0"/>
    <x v="5"/>
    <x v="0"/>
    <n v="499"/>
    <x v="16"/>
  </r>
  <r>
    <s v="P00650"/>
    <x v="4"/>
    <x v="4"/>
    <x v="2"/>
    <x v="2"/>
    <x v="2"/>
    <x v="3"/>
    <x v="13"/>
    <n v="108"/>
    <n v="6.2"/>
    <s v="Dimensity 7200"/>
    <x v="0"/>
    <s v="Black"/>
    <x v="0"/>
    <x v="5"/>
    <x v="1"/>
    <n v="549"/>
    <x v="24"/>
  </r>
  <r>
    <s v="P00651"/>
    <x v="3"/>
    <x v="3"/>
    <x v="1"/>
    <x v="1"/>
    <x v="2"/>
    <x v="3"/>
    <x v="9"/>
    <n v="64"/>
    <n v="6.67"/>
    <s v="Snapdragon 8 Gen2"/>
    <x v="0"/>
    <s v="Silver"/>
    <x v="1"/>
    <x v="4"/>
    <x v="0"/>
    <n v="799"/>
    <x v="46"/>
  </r>
  <r>
    <s v="P00652"/>
    <x v="4"/>
    <x v="4"/>
    <x v="0"/>
    <x v="0"/>
    <x v="2"/>
    <x v="0"/>
    <x v="1"/>
    <n v="108"/>
    <n v="6.7"/>
    <s v="Dimensity 7200"/>
    <x v="3"/>
    <s v="White"/>
    <x v="1"/>
    <x v="6"/>
    <x v="0"/>
    <n v="549"/>
    <x v="272"/>
  </r>
  <r>
    <s v="P00653"/>
    <x v="7"/>
    <x v="13"/>
    <x v="0"/>
    <x v="0"/>
    <x v="2"/>
    <x v="3"/>
    <x v="12"/>
    <n v="48"/>
    <n v="6.78"/>
    <s v="A14"/>
    <x v="0"/>
    <s v="Green"/>
    <x v="1"/>
    <x v="7"/>
    <x v="0"/>
    <n v="699"/>
    <x v="178"/>
  </r>
  <r>
    <s v="P00654"/>
    <x v="0"/>
    <x v="0"/>
    <x v="3"/>
    <x v="3"/>
    <x v="3"/>
    <x v="2"/>
    <x v="0"/>
    <n v="50"/>
    <n v="6.4"/>
    <s v="Dimensity 8100"/>
    <x v="2"/>
    <s v="Silver"/>
    <x v="0"/>
    <x v="1"/>
    <x v="1"/>
    <n v="599"/>
    <x v="333"/>
  </r>
  <r>
    <s v="P00655"/>
    <x v="2"/>
    <x v="2"/>
    <x v="0"/>
    <x v="0"/>
    <x v="0"/>
    <x v="1"/>
    <x v="25"/>
    <n v="64"/>
    <n v="6.1"/>
    <s v="Dimensity 8020"/>
    <x v="3"/>
    <s v="Black"/>
    <x v="1"/>
    <x v="2"/>
    <x v="1"/>
    <n v="599"/>
    <x v="1"/>
  </r>
  <r>
    <s v="P00656"/>
    <x v="9"/>
    <x v="10"/>
    <x v="3"/>
    <x v="3"/>
    <x v="0"/>
    <x v="3"/>
    <x v="17"/>
    <n v="64"/>
    <n v="6.1"/>
    <s v="Exynos 1380"/>
    <x v="1"/>
    <s v="Silver"/>
    <x v="0"/>
    <x v="6"/>
    <x v="1"/>
    <n v="449"/>
    <x v="17"/>
  </r>
  <r>
    <s v="P00657"/>
    <x v="9"/>
    <x v="10"/>
    <x v="4"/>
    <x v="4"/>
    <x v="1"/>
    <x v="1"/>
    <x v="18"/>
    <n v="50"/>
    <n v="6.78"/>
    <s v="Exynos 1380"/>
    <x v="0"/>
    <s v="Black"/>
    <x v="0"/>
    <x v="5"/>
    <x v="0"/>
    <n v="449"/>
    <x v="271"/>
  </r>
  <r>
    <s v="P00658"/>
    <x v="1"/>
    <x v="1"/>
    <x v="3"/>
    <x v="3"/>
    <x v="2"/>
    <x v="3"/>
    <x v="18"/>
    <n v="108"/>
    <n v="6.1"/>
    <s v="Tensor G2"/>
    <x v="0"/>
    <s v="Black"/>
    <x v="0"/>
    <x v="5"/>
    <x v="1"/>
    <n v="599"/>
    <x v="109"/>
  </r>
  <r>
    <s v="P00659"/>
    <x v="7"/>
    <x v="11"/>
    <x v="3"/>
    <x v="3"/>
    <x v="1"/>
    <x v="3"/>
    <x v="8"/>
    <n v="64"/>
    <n v="6.4"/>
    <s v="A15"/>
    <x v="0"/>
    <s v="Silver"/>
    <x v="0"/>
    <x v="4"/>
    <x v="1"/>
    <n v="899"/>
    <x v="334"/>
  </r>
  <r>
    <s v="P00660"/>
    <x v="8"/>
    <x v="8"/>
    <x v="0"/>
    <x v="0"/>
    <x v="0"/>
    <x v="1"/>
    <x v="22"/>
    <n v="48"/>
    <n v="6.67"/>
    <s v="Kirin 9000"/>
    <x v="3"/>
    <s v="Black"/>
    <x v="1"/>
    <x v="6"/>
    <x v="0"/>
    <n v="699"/>
    <x v="180"/>
  </r>
  <r>
    <s v="P00661"/>
    <x v="1"/>
    <x v="1"/>
    <x v="0"/>
    <x v="0"/>
    <x v="2"/>
    <x v="2"/>
    <x v="5"/>
    <n v="12"/>
    <n v="6.67"/>
    <s v="Tensor G2"/>
    <x v="3"/>
    <s v="White"/>
    <x v="1"/>
    <x v="5"/>
    <x v="1"/>
    <n v="599"/>
    <x v="238"/>
  </r>
  <r>
    <s v="P00662"/>
    <x v="7"/>
    <x v="13"/>
    <x v="3"/>
    <x v="3"/>
    <x v="1"/>
    <x v="3"/>
    <x v="7"/>
    <n v="12"/>
    <n v="6.1"/>
    <s v="A14"/>
    <x v="1"/>
    <s v="Purple"/>
    <x v="0"/>
    <x v="7"/>
    <x v="0"/>
    <n v="699"/>
    <x v="335"/>
  </r>
  <r>
    <s v="P00663"/>
    <x v="4"/>
    <x v="4"/>
    <x v="4"/>
    <x v="4"/>
    <x v="3"/>
    <x v="1"/>
    <x v="10"/>
    <n v="64"/>
    <n v="6.5"/>
    <s v="Dimensity 7200"/>
    <x v="0"/>
    <s v="Purple"/>
    <x v="0"/>
    <x v="4"/>
    <x v="0"/>
    <n v="549"/>
    <x v="50"/>
  </r>
  <r>
    <s v="P00664"/>
    <x v="2"/>
    <x v="2"/>
    <x v="3"/>
    <x v="3"/>
    <x v="2"/>
    <x v="0"/>
    <x v="13"/>
    <n v="12"/>
    <n v="6.1"/>
    <s v="Dimensity 8020"/>
    <x v="1"/>
    <s v="Black"/>
    <x v="1"/>
    <x v="3"/>
    <x v="1"/>
    <n v="599"/>
    <x v="183"/>
  </r>
  <r>
    <s v="P00665"/>
    <x v="4"/>
    <x v="4"/>
    <x v="4"/>
    <x v="4"/>
    <x v="1"/>
    <x v="1"/>
    <x v="17"/>
    <n v="50"/>
    <n v="6.7"/>
    <s v="Dimensity 7200"/>
    <x v="0"/>
    <s v="Blue"/>
    <x v="1"/>
    <x v="4"/>
    <x v="1"/>
    <n v="549"/>
    <x v="3"/>
  </r>
  <r>
    <s v="P00666"/>
    <x v="4"/>
    <x v="4"/>
    <x v="3"/>
    <x v="3"/>
    <x v="0"/>
    <x v="3"/>
    <x v="5"/>
    <n v="108"/>
    <n v="6.5"/>
    <s v="Dimensity 7200"/>
    <x v="3"/>
    <s v="White"/>
    <x v="0"/>
    <x v="5"/>
    <x v="0"/>
    <n v="549"/>
    <x v="126"/>
  </r>
  <r>
    <s v="P00667"/>
    <x v="8"/>
    <x v="8"/>
    <x v="0"/>
    <x v="0"/>
    <x v="0"/>
    <x v="3"/>
    <x v="12"/>
    <n v="12"/>
    <n v="6.7"/>
    <s v="Kirin 9000"/>
    <x v="3"/>
    <s v="Green"/>
    <x v="0"/>
    <x v="7"/>
    <x v="0"/>
    <n v="699"/>
    <x v="336"/>
  </r>
  <r>
    <s v="P00668"/>
    <x v="4"/>
    <x v="4"/>
    <x v="2"/>
    <x v="2"/>
    <x v="1"/>
    <x v="2"/>
    <x v="4"/>
    <n v="12"/>
    <n v="6.4"/>
    <s v="Dimensity 7200"/>
    <x v="1"/>
    <s v="White"/>
    <x v="0"/>
    <x v="7"/>
    <x v="0"/>
    <n v="549"/>
    <x v="337"/>
  </r>
  <r>
    <s v="P00669"/>
    <x v="8"/>
    <x v="8"/>
    <x v="0"/>
    <x v="0"/>
    <x v="3"/>
    <x v="0"/>
    <x v="5"/>
    <n v="64"/>
    <n v="6.4"/>
    <s v="Kirin 9000"/>
    <x v="3"/>
    <s v="White"/>
    <x v="1"/>
    <x v="0"/>
    <x v="1"/>
    <n v="699"/>
    <x v="227"/>
  </r>
  <r>
    <s v="P00670"/>
    <x v="9"/>
    <x v="12"/>
    <x v="0"/>
    <x v="0"/>
    <x v="2"/>
    <x v="2"/>
    <x v="7"/>
    <n v="64"/>
    <n v="6.67"/>
    <s v="Snapdragon 8 Gen 1"/>
    <x v="3"/>
    <s v="Black"/>
    <x v="0"/>
    <x v="0"/>
    <x v="1"/>
    <n v="999"/>
    <x v="20"/>
  </r>
  <r>
    <s v="P00671"/>
    <x v="9"/>
    <x v="12"/>
    <x v="4"/>
    <x v="4"/>
    <x v="0"/>
    <x v="2"/>
    <x v="11"/>
    <n v="108"/>
    <n v="6.78"/>
    <s v="Snapdragon 8 Gen 1"/>
    <x v="1"/>
    <s v="Black"/>
    <x v="1"/>
    <x v="1"/>
    <x v="1"/>
    <n v="999"/>
    <x v="338"/>
  </r>
  <r>
    <s v="P00672"/>
    <x v="4"/>
    <x v="4"/>
    <x v="0"/>
    <x v="0"/>
    <x v="3"/>
    <x v="3"/>
    <x v="2"/>
    <n v="64"/>
    <n v="6.78"/>
    <s v="Dimensity 7200"/>
    <x v="0"/>
    <s v="Blue"/>
    <x v="1"/>
    <x v="3"/>
    <x v="0"/>
    <n v="549"/>
    <x v="265"/>
  </r>
  <r>
    <s v="P00673"/>
    <x v="2"/>
    <x v="2"/>
    <x v="2"/>
    <x v="2"/>
    <x v="0"/>
    <x v="0"/>
    <x v="17"/>
    <n v="48"/>
    <n v="6.7"/>
    <s v="Dimensity 8020"/>
    <x v="3"/>
    <s v="White"/>
    <x v="1"/>
    <x v="6"/>
    <x v="0"/>
    <n v="599"/>
    <x v="267"/>
  </r>
  <r>
    <s v="P00674"/>
    <x v="5"/>
    <x v="5"/>
    <x v="4"/>
    <x v="4"/>
    <x v="2"/>
    <x v="2"/>
    <x v="4"/>
    <n v="64"/>
    <n v="6.5"/>
    <s v="Dimensity 1300"/>
    <x v="0"/>
    <s v="Green"/>
    <x v="0"/>
    <x v="3"/>
    <x v="0"/>
    <n v="499"/>
    <x v="339"/>
  </r>
  <r>
    <s v="P00675"/>
    <x v="4"/>
    <x v="4"/>
    <x v="2"/>
    <x v="2"/>
    <x v="1"/>
    <x v="3"/>
    <x v="11"/>
    <n v="48"/>
    <n v="6.5"/>
    <s v="Dimensity 7200"/>
    <x v="3"/>
    <s v="Silver"/>
    <x v="0"/>
    <x v="6"/>
    <x v="1"/>
    <n v="549"/>
    <x v="340"/>
  </r>
  <r>
    <s v="P00676"/>
    <x v="8"/>
    <x v="8"/>
    <x v="0"/>
    <x v="0"/>
    <x v="1"/>
    <x v="0"/>
    <x v="17"/>
    <n v="108"/>
    <n v="6.2"/>
    <s v="Kirin 9000"/>
    <x v="0"/>
    <s v="Silver"/>
    <x v="0"/>
    <x v="7"/>
    <x v="1"/>
    <n v="699"/>
    <x v="325"/>
  </r>
  <r>
    <s v="P00677"/>
    <x v="3"/>
    <x v="3"/>
    <x v="2"/>
    <x v="2"/>
    <x v="3"/>
    <x v="3"/>
    <x v="5"/>
    <n v="108"/>
    <n v="6.5"/>
    <s v="Snapdragon 8 Gen2"/>
    <x v="0"/>
    <s v="Silver"/>
    <x v="1"/>
    <x v="4"/>
    <x v="1"/>
    <n v="799"/>
    <x v="64"/>
  </r>
  <r>
    <s v="P00678"/>
    <x v="7"/>
    <x v="7"/>
    <x v="3"/>
    <x v="3"/>
    <x v="2"/>
    <x v="1"/>
    <x v="5"/>
    <n v="12"/>
    <n v="6.1"/>
    <s v="A15"/>
    <x v="1"/>
    <s v="Blue"/>
    <x v="0"/>
    <x v="6"/>
    <x v="1"/>
    <n v="799"/>
    <x v="341"/>
  </r>
  <r>
    <s v="P00679"/>
    <x v="2"/>
    <x v="2"/>
    <x v="1"/>
    <x v="1"/>
    <x v="3"/>
    <x v="1"/>
    <x v="1"/>
    <n v="48"/>
    <n v="6.78"/>
    <s v="Dimensity 8020"/>
    <x v="0"/>
    <s v="Green"/>
    <x v="0"/>
    <x v="0"/>
    <x v="0"/>
    <n v="599"/>
    <x v="132"/>
  </r>
  <r>
    <s v="P00680"/>
    <x v="6"/>
    <x v="9"/>
    <x v="2"/>
    <x v="2"/>
    <x v="1"/>
    <x v="2"/>
    <x v="10"/>
    <n v="108"/>
    <n v="6.5"/>
    <s v="Snapdragon 680"/>
    <x v="2"/>
    <s v="White"/>
    <x v="0"/>
    <x v="0"/>
    <x v="0"/>
    <n v="299"/>
    <x v="342"/>
  </r>
  <r>
    <s v="P00681"/>
    <x v="1"/>
    <x v="1"/>
    <x v="3"/>
    <x v="3"/>
    <x v="3"/>
    <x v="3"/>
    <x v="2"/>
    <n v="64"/>
    <n v="6.7"/>
    <s v="Tensor G2"/>
    <x v="0"/>
    <s v="Blue"/>
    <x v="0"/>
    <x v="6"/>
    <x v="0"/>
    <n v="599"/>
    <x v="95"/>
  </r>
  <r>
    <s v="P00682"/>
    <x v="4"/>
    <x v="4"/>
    <x v="0"/>
    <x v="0"/>
    <x v="2"/>
    <x v="0"/>
    <x v="19"/>
    <n v="50"/>
    <n v="6.67"/>
    <s v="Dimensity 7200"/>
    <x v="3"/>
    <s v="Silver"/>
    <x v="0"/>
    <x v="5"/>
    <x v="0"/>
    <n v="549"/>
    <x v="48"/>
  </r>
  <r>
    <s v="P00683"/>
    <x v="2"/>
    <x v="2"/>
    <x v="1"/>
    <x v="1"/>
    <x v="0"/>
    <x v="0"/>
    <x v="9"/>
    <n v="50"/>
    <n v="6.7"/>
    <s v="Dimensity 8020"/>
    <x v="0"/>
    <s v="Black"/>
    <x v="1"/>
    <x v="1"/>
    <x v="1"/>
    <n v="599"/>
    <x v="32"/>
  </r>
  <r>
    <s v="P00684"/>
    <x v="0"/>
    <x v="0"/>
    <x v="3"/>
    <x v="3"/>
    <x v="2"/>
    <x v="1"/>
    <x v="5"/>
    <n v="12"/>
    <n v="6.7"/>
    <s v="Dimensity 8100"/>
    <x v="3"/>
    <s v="Black"/>
    <x v="1"/>
    <x v="2"/>
    <x v="1"/>
    <n v="599"/>
    <x v="315"/>
  </r>
  <r>
    <s v="P00685"/>
    <x v="6"/>
    <x v="9"/>
    <x v="0"/>
    <x v="0"/>
    <x v="2"/>
    <x v="0"/>
    <x v="17"/>
    <n v="64"/>
    <n v="6.1"/>
    <s v="Snapdragon 680"/>
    <x v="1"/>
    <s v="Silver"/>
    <x v="0"/>
    <x v="5"/>
    <x v="1"/>
    <n v="299"/>
    <x v="22"/>
  </r>
  <r>
    <s v="P00686"/>
    <x v="2"/>
    <x v="2"/>
    <x v="0"/>
    <x v="0"/>
    <x v="0"/>
    <x v="0"/>
    <x v="10"/>
    <n v="64"/>
    <n v="6.4"/>
    <s v="Dimensity 8020"/>
    <x v="0"/>
    <s v="Blue"/>
    <x v="0"/>
    <x v="7"/>
    <x v="0"/>
    <n v="599"/>
    <x v="3"/>
  </r>
  <r>
    <s v="P00687"/>
    <x v="1"/>
    <x v="1"/>
    <x v="4"/>
    <x v="4"/>
    <x v="2"/>
    <x v="3"/>
    <x v="4"/>
    <n v="50"/>
    <n v="6.78"/>
    <s v="Tensor G2"/>
    <x v="2"/>
    <s v="Green"/>
    <x v="0"/>
    <x v="7"/>
    <x v="0"/>
    <n v="599"/>
    <x v="343"/>
  </r>
  <r>
    <s v="P00688"/>
    <x v="8"/>
    <x v="8"/>
    <x v="4"/>
    <x v="4"/>
    <x v="1"/>
    <x v="0"/>
    <x v="16"/>
    <n v="108"/>
    <n v="6.4"/>
    <s v="Kirin 9000"/>
    <x v="2"/>
    <s v="Purple"/>
    <x v="1"/>
    <x v="7"/>
    <x v="0"/>
    <n v="699"/>
    <x v="252"/>
  </r>
  <r>
    <s v="P00689"/>
    <x v="9"/>
    <x v="10"/>
    <x v="0"/>
    <x v="0"/>
    <x v="3"/>
    <x v="0"/>
    <x v="1"/>
    <n v="48"/>
    <n v="6.7"/>
    <s v="Exynos 1380"/>
    <x v="3"/>
    <s v="Silver"/>
    <x v="0"/>
    <x v="0"/>
    <x v="0"/>
    <n v="449"/>
    <x v="42"/>
  </r>
  <r>
    <s v="P00690"/>
    <x v="8"/>
    <x v="8"/>
    <x v="0"/>
    <x v="0"/>
    <x v="0"/>
    <x v="3"/>
    <x v="20"/>
    <n v="64"/>
    <n v="6.78"/>
    <s v="Kirin 9000"/>
    <x v="3"/>
    <s v="Blue"/>
    <x v="0"/>
    <x v="6"/>
    <x v="0"/>
    <n v="699"/>
    <x v="190"/>
  </r>
  <r>
    <s v="P00691"/>
    <x v="0"/>
    <x v="0"/>
    <x v="1"/>
    <x v="1"/>
    <x v="0"/>
    <x v="0"/>
    <x v="14"/>
    <n v="48"/>
    <n v="6.4"/>
    <s v="Dimensity 8100"/>
    <x v="3"/>
    <s v="Black"/>
    <x v="1"/>
    <x v="4"/>
    <x v="1"/>
    <n v="599"/>
    <x v="123"/>
  </r>
  <r>
    <s v="P00692"/>
    <x v="9"/>
    <x v="10"/>
    <x v="3"/>
    <x v="3"/>
    <x v="1"/>
    <x v="3"/>
    <x v="8"/>
    <n v="108"/>
    <n v="6.1"/>
    <s v="Exynos 1380"/>
    <x v="1"/>
    <s v="White"/>
    <x v="1"/>
    <x v="4"/>
    <x v="1"/>
    <n v="449"/>
    <x v="17"/>
  </r>
  <r>
    <s v="P00693"/>
    <x v="8"/>
    <x v="8"/>
    <x v="0"/>
    <x v="0"/>
    <x v="3"/>
    <x v="3"/>
    <x v="1"/>
    <n v="50"/>
    <n v="6.7"/>
    <s v="Kirin 9000"/>
    <x v="0"/>
    <s v="Black"/>
    <x v="0"/>
    <x v="0"/>
    <x v="1"/>
    <n v="699"/>
    <x v="323"/>
  </r>
  <r>
    <s v="P00694"/>
    <x v="2"/>
    <x v="2"/>
    <x v="1"/>
    <x v="1"/>
    <x v="2"/>
    <x v="3"/>
    <x v="15"/>
    <n v="64"/>
    <n v="6.7"/>
    <s v="Dimensity 8020"/>
    <x v="3"/>
    <s v="Black"/>
    <x v="0"/>
    <x v="7"/>
    <x v="1"/>
    <n v="599"/>
    <x v="59"/>
  </r>
  <r>
    <s v="P00695"/>
    <x v="7"/>
    <x v="11"/>
    <x v="1"/>
    <x v="1"/>
    <x v="2"/>
    <x v="0"/>
    <x v="3"/>
    <n v="64"/>
    <n v="6.5"/>
    <s v="A15"/>
    <x v="2"/>
    <s v="Blue"/>
    <x v="1"/>
    <x v="5"/>
    <x v="0"/>
    <n v="899"/>
    <x v="103"/>
  </r>
  <r>
    <s v="P00696"/>
    <x v="8"/>
    <x v="8"/>
    <x v="1"/>
    <x v="1"/>
    <x v="1"/>
    <x v="0"/>
    <x v="4"/>
    <n v="108"/>
    <n v="6.4"/>
    <s v="Kirin 9000"/>
    <x v="0"/>
    <s v="White"/>
    <x v="1"/>
    <x v="0"/>
    <x v="0"/>
    <n v="699"/>
    <x v="176"/>
  </r>
  <r>
    <s v="P00697"/>
    <x v="0"/>
    <x v="0"/>
    <x v="3"/>
    <x v="3"/>
    <x v="3"/>
    <x v="1"/>
    <x v="7"/>
    <n v="50"/>
    <n v="6.78"/>
    <s v="Dimensity 8100"/>
    <x v="3"/>
    <s v="Purple"/>
    <x v="1"/>
    <x v="1"/>
    <x v="1"/>
    <n v="599"/>
    <x v="1"/>
  </r>
  <r>
    <s v="P00698"/>
    <x v="8"/>
    <x v="8"/>
    <x v="3"/>
    <x v="3"/>
    <x v="1"/>
    <x v="0"/>
    <x v="11"/>
    <n v="48"/>
    <n v="6.1"/>
    <s v="Kirin 9000"/>
    <x v="3"/>
    <s v="Black"/>
    <x v="1"/>
    <x v="4"/>
    <x v="1"/>
    <n v="699"/>
    <x v="326"/>
  </r>
  <r>
    <s v="P00699"/>
    <x v="4"/>
    <x v="4"/>
    <x v="3"/>
    <x v="3"/>
    <x v="2"/>
    <x v="0"/>
    <x v="16"/>
    <n v="108"/>
    <n v="6.2"/>
    <s v="Dimensity 7200"/>
    <x v="1"/>
    <s v="Black"/>
    <x v="0"/>
    <x v="3"/>
    <x v="1"/>
    <n v="549"/>
    <x v="9"/>
  </r>
  <r>
    <s v="P00700"/>
    <x v="4"/>
    <x v="4"/>
    <x v="2"/>
    <x v="2"/>
    <x v="1"/>
    <x v="3"/>
    <x v="20"/>
    <n v="50"/>
    <n v="6.7"/>
    <s v="Dimensity 7200"/>
    <x v="3"/>
    <s v="Green"/>
    <x v="1"/>
    <x v="6"/>
    <x v="0"/>
    <n v="549"/>
    <x v="132"/>
  </r>
  <r>
    <s v="P00701"/>
    <x v="7"/>
    <x v="13"/>
    <x v="2"/>
    <x v="2"/>
    <x v="2"/>
    <x v="2"/>
    <x v="10"/>
    <n v="50"/>
    <n v="6.2"/>
    <s v="A14"/>
    <x v="3"/>
    <s v="Purple"/>
    <x v="0"/>
    <x v="4"/>
    <x v="1"/>
    <n v="699"/>
    <x v="177"/>
  </r>
  <r>
    <s v="P00702"/>
    <x v="5"/>
    <x v="5"/>
    <x v="1"/>
    <x v="1"/>
    <x v="1"/>
    <x v="0"/>
    <x v="17"/>
    <n v="64"/>
    <n v="6.4"/>
    <s v="Dimensity 1300"/>
    <x v="0"/>
    <s v="White"/>
    <x v="1"/>
    <x v="5"/>
    <x v="1"/>
    <n v="499"/>
    <x v="344"/>
  </r>
  <r>
    <s v="P00703"/>
    <x v="8"/>
    <x v="8"/>
    <x v="3"/>
    <x v="3"/>
    <x v="1"/>
    <x v="0"/>
    <x v="17"/>
    <n v="48"/>
    <n v="6.2"/>
    <s v="Kirin 9000"/>
    <x v="0"/>
    <s v="Purple"/>
    <x v="1"/>
    <x v="0"/>
    <x v="1"/>
    <n v="699"/>
    <x v="94"/>
  </r>
  <r>
    <s v="P00704"/>
    <x v="5"/>
    <x v="5"/>
    <x v="1"/>
    <x v="1"/>
    <x v="1"/>
    <x v="0"/>
    <x v="16"/>
    <n v="50"/>
    <n v="6.2"/>
    <s v="Dimensity 1300"/>
    <x v="1"/>
    <s v="Silver"/>
    <x v="1"/>
    <x v="6"/>
    <x v="1"/>
    <n v="499"/>
    <x v="16"/>
  </r>
  <r>
    <s v="P00705"/>
    <x v="0"/>
    <x v="0"/>
    <x v="3"/>
    <x v="3"/>
    <x v="3"/>
    <x v="0"/>
    <x v="16"/>
    <n v="108"/>
    <n v="6.4"/>
    <s v="Dimensity 8100"/>
    <x v="3"/>
    <s v="Green"/>
    <x v="0"/>
    <x v="2"/>
    <x v="1"/>
    <n v="599"/>
    <x v="196"/>
  </r>
  <r>
    <s v="P00706"/>
    <x v="2"/>
    <x v="2"/>
    <x v="0"/>
    <x v="0"/>
    <x v="2"/>
    <x v="2"/>
    <x v="10"/>
    <n v="50"/>
    <n v="6.5"/>
    <s v="Dimensity 8020"/>
    <x v="0"/>
    <s v="Purple"/>
    <x v="0"/>
    <x v="2"/>
    <x v="0"/>
    <n v="599"/>
    <x v="157"/>
  </r>
  <r>
    <s v="P00707"/>
    <x v="1"/>
    <x v="1"/>
    <x v="4"/>
    <x v="4"/>
    <x v="1"/>
    <x v="1"/>
    <x v="15"/>
    <n v="12"/>
    <n v="6.7"/>
    <s v="Tensor G2"/>
    <x v="0"/>
    <s v="Blue"/>
    <x v="0"/>
    <x v="6"/>
    <x v="1"/>
    <n v="599"/>
    <x v="103"/>
  </r>
  <r>
    <s v="P00708"/>
    <x v="1"/>
    <x v="1"/>
    <x v="4"/>
    <x v="4"/>
    <x v="2"/>
    <x v="0"/>
    <x v="18"/>
    <n v="50"/>
    <n v="6.78"/>
    <s v="Tensor G2"/>
    <x v="3"/>
    <s v="Blue"/>
    <x v="1"/>
    <x v="4"/>
    <x v="0"/>
    <n v="599"/>
    <x v="345"/>
  </r>
  <r>
    <s v="P00709"/>
    <x v="0"/>
    <x v="0"/>
    <x v="0"/>
    <x v="0"/>
    <x v="1"/>
    <x v="1"/>
    <x v="2"/>
    <n v="64"/>
    <n v="6.4"/>
    <s v="Dimensity 8100"/>
    <x v="3"/>
    <s v="Purple"/>
    <x v="1"/>
    <x v="1"/>
    <x v="1"/>
    <n v="599"/>
    <x v="1"/>
  </r>
  <r>
    <s v="P00710"/>
    <x v="0"/>
    <x v="0"/>
    <x v="1"/>
    <x v="1"/>
    <x v="2"/>
    <x v="2"/>
    <x v="24"/>
    <n v="64"/>
    <n v="6.7"/>
    <s v="Dimensity 8100"/>
    <x v="1"/>
    <s v="Green"/>
    <x v="1"/>
    <x v="7"/>
    <x v="0"/>
    <n v="599"/>
    <x v="314"/>
  </r>
  <r>
    <s v="P00711"/>
    <x v="5"/>
    <x v="5"/>
    <x v="2"/>
    <x v="2"/>
    <x v="0"/>
    <x v="3"/>
    <x v="3"/>
    <n v="108"/>
    <n v="6.2"/>
    <s v="Dimensity 1300"/>
    <x v="0"/>
    <s v="Green"/>
    <x v="0"/>
    <x v="5"/>
    <x v="1"/>
    <n v="499"/>
    <x v="346"/>
  </r>
  <r>
    <s v="P00712"/>
    <x v="7"/>
    <x v="11"/>
    <x v="1"/>
    <x v="1"/>
    <x v="1"/>
    <x v="1"/>
    <x v="23"/>
    <n v="12"/>
    <n v="6.2"/>
    <s v="A15"/>
    <x v="0"/>
    <s v="Green"/>
    <x v="0"/>
    <x v="7"/>
    <x v="1"/>
    <n v="899"/>
    <x v="347"/>
  </r>
  <r>
    <s v="P00713"/>
    <x v="4"/>
    <x v="4"/>
    <x v="4"/>
    <x v="4"/>
    <x v="2"/>
    <x v="2"/>
    <x v="13"/>
    <n v="64"/>
    <n v="6.7"/>
    <s v="Dimensity 7200"/>
    <x v="0"/>
    <s v="Blue"/>
    <x v="0"/>
    <x v="3"/>
    <x v="0"/>
    <n v="549"/>
    <x v="42"/>
  </r>
  <r>
    <s v="P00714"/>
    <x v="5"/>
    <x v="5"/>
    <x v="3"/>
    <x v="3"/>
    <x v="1"/>
    <x v="0"/>
    <x v="20"/>
    <n v="12"/>
    <n v="6.5"/>
    <s v="Dimensity 1300"/>
    <x v="0"/>
    <s v="Black"/>
    <x v="1"/>
    <x v="0"/>
    <x v="1"/>
    <n v="499"/>
    <x v="304"/>
  </r>
  <r>
    <s v="P00715"/>
    <x v="7"/>
    <x v="13"/>
    <x v="0"/>
    <x v="0"/>
    <x v="2"/>
    <x v="0"/>
    <x v="0"/>
    <n v="64"/>
    <n v="6.4"/>
    <s v="A14"/>
    <x v="3"/>
    <s v="Silver"/>
    <x v="0"/>
    <x v="1"/>
    <x v="0"/>
    <n v="699"/>
    <x v="324"/>
  </r>
  <r>
    <s v="P00716"/>
    <x v="3"/>
    <x v="3"/>
    <x v="0"/>
    <x v="0"/>
    <x v="0"/>
    <x v="1"/>
    <x v="10"/>
    <n v="48"/>
    <n v="6.2"/>
    <s v="Snapdragon 8 Gen2"/>
    <x v="1"/>
    <s v="Green"/>
    <x v="0"/>
    <x v="6"/>
    <x v="0"/>
    <n v="799"/>
    <x v="20"/>
  </r>
  <r>
    <s v="P00717"/>
    <x v="0"/>
    <x v="0"/>
    <x v="3"/>
    <x v="3"/>
    <x v="2"/>
    <x v="2"/>
    <x v="11"/>
    <n v="108"/>
    <n v="6.5"/>
    <s v="Dimensity 8100"/>
    <x v="1"/>
    <s v="White"/>
    <x v="1"/>
    <x v="3"/>
    <x v="1"/>
    <n v="599"/>
    <x v="111"/>
  </r>
  <r>
    <s v="P00718"/>
    <x v="3"/>
    <x v="3"/>
    <x v="2"/>
    <x v="2"/>
    <x v="3"/>
    <x v="0"/>
    <x v="24"/>
    <n v="108"/>
    <n v="6.67"/>
    <s v="Snapdragon 8 Gen2"/>
    <x v="1"/>
    <s v="Silver"/>
    <x v="0"/>
    <x v="5"/>
    <x v="0"/>
    <n v="799"/>
    <x v="211"/>
  </r>
  <r>
    <s v="P00719"/>
    <x v="5"/>
    <x v="5"/>
    <x v="0"/>
    <x v="0"/>
    <x v="2"/>
    <x v="0"/>
    <x v="5"/>
    <n v="48"/>
    <n v="6.2"/>
    <s v="Dimensity 1300"/>
    <x v="3"/>
    <s v="Black"/>
    <x v="0"/>
    <x v="3"/>
    <x v="0"/>
    <n v="499"/>
    <x v="137"/>
  </r>
  <r>
    <s v="P00720"/>
    <x v="8"/>
    <x v="8"/>
    <x v="4"/>
    <x v="4"/>
    <x v="0"/>
    <x v="0"/>
    <x v="0"/>
    <n v="50"/>
    <n v="6.5"/>
    <s v="Kirin 9000"/>
    <x v="3"/>
    <s v="Blue"/>
    <x v="1"/>
    <x v="5"/>
    <x v="0"/>
    <n v="699"/>
    <x v="324"/>
  </r>
  <r>
    <s v="P00721"/>
    <x v="7"/>
    <x v="11"/>
    <x v="0"/>
    <x v="0"/>
    <x v="1"/>
    <x v="3"/>
    <x v="5"/>
    <n v="12"/>
    <n v="6.4"/>
    <s v="A15"/>
    <x v="0"/>
    <s v="Blue"/>
    <x v="0"/>
    <x v="0"/>
    <x v="1"/>
    <n v="899"/>
    <x v="348"/>
  </r>
  <r>
    <s v="P00722"/>
    <x v="8"/>
    <x v="8"/>
    <x v="0"/>
    <x v="0"/>
    <x v="3"/>
    <x v="0"/>
    <x v="16"/>
    <n v="108"/>
    <n v="6.5"/>
    <s v="Kirin 9000"/>
    <x v="3"/>
    <s v="Black"/>
    <x v="1"/>
    <x v="2"/>
    <x v="1"/>
    <n v="699"/>
    <x v="55"/>
  </r>
  <r>
    <s v="P00723"/>
    <x v="3"/>
    <x v="3"/>
    <x v="0"/>
    <x v="0"/>
    <x v="3"/>
    <x v="1"/>
    <x v="10"/>
    <n v="64"/>
    <n v="6.67"/>
    <s v="Snapdragon 8 Gen2"/>
    <x v="3"/>
    <s v="White"/>
    <x v="1"/>
    <x v="3"/>
    <x v="0"/>
    <n v="799"/>
    <x v="189"/>
  </r>
  <r>
    <s v="P00724"/>
    <x v="0"/>
    <x v="0"/>
    <x v="1"/>
    <x v="1"/>
    <x v="2"/>
    <x v="1"/>
    <x v="8"/>
    <n v="12"/>
    <n v="6.78"/>
    <s v="Dimensity 8100"/>
    <x v="3"/>
    <s v="Silver"/>
    <x v="0"/>
    <x v="3"/>
    <x v="1"/>
    <n v="599"/>
    <x v="349"/>
  </r>
  <r>
    <s v="P00725"/>
    <x v="3"/>
    <x v="3"/>
    <x v="4"/>
    <x v="4"/>
    <x v="1"/>
    <x v="1"/>
    <x v="4"/>
    <n v="12"/>
    <n v="6.2"/>
    <s v="Snapdragon 8 Gen2"/>
    <x v="1"/>
    <s v="Green"/>
    <x v="1"/>
    <x v="3"/>
    <x v="0"/>
    <n v="799"/>
    <x v="164"/>
  </r>
  <r>
    <s v="P00726"/>
    <x v="7"/>
    <x v="13"/>
    <x v="3"/>
    <x v="3"/>
    <x v="2"/>
    <x v="0"/>
    <x v="4"/>
    <n v="108"/>
    <n v="6.7"/>
    <s v="A14"/>
    <x v="3"/>
    <s v="Green"/>
    <x v="0"/>
    <x v="2"/>
    <x v="0"/>
    <n v="699"/>
    <x v="350"/>
  </r>
  <r>
    <s v="P00727"/>
    <x v="2"/>
    <x v="2"/>
    <x v="4"/>
    <x v="4"/>
    <x v="3"/>
    <x v="0"/>
    <x v="23"/>
    <n v="12"/>
    <n v="6.4"/>
    <s v="Dimensity 8020"/>
    <x v="3"/>
    <s v="Silver"/>
    <x v="0"/>
    <x v="6"/>
    <x v="0"/>
    <n v="599"/>
    <x v="351"/>
  </r>
  <r>
    <s v="P00728"/>
    <x v="5"/>
    <x v="5"/>
    <x v="3"/>
    <x v="3"/>
    <x v="2"/>
    <x v="3"/>
    <x v="12"/>
    <n v="12"/>
    <n v="6.2"/>
    <s v="Dimensity 1300"/>
    <x v="3"/>
    <s v="Black"/>
    <x v="1"/>
    <x v="7"/>
    <x v="1"/>
    <n v="499"/>
    <x v="86"/>
  </r>
  <r>
    <s v="P00729"/>
    <x v="0"/>
    <x v="0"/>
    <x v="4"/>
    <x v="4"/>
    <x v="2"/>
    <x v="3"/>
    <x v="8"/>
    <n v="108"/>
    <n v="6.67"/>
    <s v="Dimensity 8100"/>
    <x v="0"/>
    <s v="Silver"/>
    <x v="0"/>
    <x v="3"/>
    <x v="0"/>
    <n v="599"/>
    <x v="150"/>
  </r>
  <r>
    <s v="P00730"/>
    <x v="4"/>
    <x v="4"/>
    <x v="0"/>
    <x v="0"/>
    <x v="2"/>
    <x v="0"/>
    <x v="25"/>
    <n v="12"/>
    <n v="6.78"/>
    <s v="Dimensity 7200"/>
    <x v="3"/>
    <s v="Green"/>
    <x v="0"/>
    <x v="6"/>
    <x v="0"/>
    <n v="549"/>
    <x v="44"/>
  </r>
  <r>
    <s v="P00731"/>
    <x v="5"/>
    <x v="5"/>
    <x v="2"/>
    <x v="2"/>
    <x v="3"/>
    <x v="1"/>
    <x v="0"/>
    <n v="64"/>
    <n v="6.7"/>
    <s v="Dimensity 1300"/>
    <x v="0"/>
    <s v="Green"/>
    <x v="0"/>
    <x v="0"/>
    <x v="0"/>
    <n v="499"/>
    <x v="271"/>
  </r>
  <r>
    <s v="P00732"/>
    <x v="5"/>
    <x v="5"/>
    <x v="3"/>
    <x v="3"/>
    <x v="3"/>
    <x v="0"/>
    <x v="9"/>
    <n v="12"/>
    <n v="6.5"/>
    <s v="Dimensity 1300"/>
    <x v="3"/>
    <s v="Blue"/>
    <x v="1"/>
    <x v="0"/>
    <x v="1"/>
    <n v="499"/>
    <x v="352"/>
  </r>
  <r>
    <s v="P00733"/>
    <x v="1"/>
    <x v="1"/>
    <x v="0"/>
    <x v="0"/>
    <x v="2"/>
    <x v="2"/>
    <x v="14"/>
    <n v="48"/>
    <n v="6.4"/>
    <s v="Tensor G2"/>
    <x v="3"/>
    <s v="Black"/>
    <x v="1"/>
    <x v="0"/>
    <x v="1"/>
    <n v="599"/>
    <x v="142"/>
  </r>
  <r>
    <s v="P00734"/>
    <x v="5"/>
    <x v="5"/>
    <x v="3"/>
    <x v="3"/>
    <x v="1"/>
    <x v="2"/>
    <x v="11"/>
    <n v="64"/>
    <n v="6.4"/>
    <s v="Dimensity 1300"/>
    <x v="0"/>
    <s v="Blue"/>
    <x v="1"/>
    <x v="3"/>
    <x v="1"/>
    <n v="499"/>
    <x v="333"/>
  </r>
  <r>
    <s v="P00735"/>
    <x v="9"/>
    <x v="10"/>
    <x v="3"/>
    <x v="3"/>
    <x v="1"/>
    <x v="1"/>
    <x v="4"/>
    <n v="64"/>
    <n v="6.67"/>
    <s v="Exynos 1380"/>
    <x v="3"/>
    <s v="Silver"/>
    <x v="0"/>
    <x v="4"/>
    <x v="0"/>
    <n v="449"/>
    <x v="17"/>
  </r>
  <r>
    <s v="P00736"/>
    <x v="1"/>
    <x v="1"/>
    <x v="1"/>
    <x v="1"/>
    <x v="2"/>
    <x v="0"/>
    <x v="7"/>
    <n v="108"/>
    <n v="6.78"/>
    <s v="Tensor G2"/>
    <x v="3"/>
    <s v="Blue"/>
    <x v="0"/>
    <x v="3"/>
    <x v="0"/>
    <n v="599"/>
    <x v="151"/>
  </r>
  <r>
    <s v="P00737"/>
    <x v="2"/>
    <x v="2"/>
    <x v="0"/>
    <x v="0"/>
    <x v="1"/>
    <x v="3"/>
    <x v="4"/>
    <n v="108"/>
    <n v="6.4"/>
    <s v="Dimensity 8020"/>
    <x v="3"/>
    <s v="Purple"/>
    <x v="1"/>
    <x v="3"/>
    <x v="0"/>
    <n v="599"/>
    <x v="181"/>
  </r>
  <r>
    <s v="P00738"/>
    <x v="1"/>
    <x v="1"/>
    <x v="4"/>
    <x v="4"/>
    <x v="2"/>
    <x v="3"/>
    <x v="0"/>
    <n v="108"/>
    <n v="6.4"/>
    <s v="Tensor G2"/>
    <x v="2"/>
    <s v="Silver"/>
    <x v="0"/>
    <x v="5"/>
    <x v="0"/>
    <n v="599"/>
    <x v="82"/>
  </r>
  <r>
    <s v="P00739"/>
    <x v="6"/>
    <x v="6"/>
    <x v="0"/>
    <x v="0"/>
    <x v="3"/>
    <x v="1"/>
    <x v="25"/>
    <n v="48"/>
    <n v="6.67"/>
    <s v="Snapdragon 778G"/>
    <x v="3"/>
    <s v="Purple"/>
    <x v="0"/>
    <x v="0"/>
    <x v="0"/>
    <n v="399"/>
    <x v="42"/>
  </r>
  <r>
    <s v="P00740"/>
    <x v="2"/>
    <x v="2"/>
    <x v="1"/>
    <x v="1"/>
    <x v="0"/>
    <x v="1"/>
    <x v="13"/>
    <n v="12"/>
    <n v="6.78"/>
    <s v="Dimensity 8020"/>
    <x v="1"/>
    <s v="Black"/>
    <x v="1"/>
    <x v="7"/>
    <x v="1"/>
    <n v="599"/>
    <x v="1"/>
  </r>
  <r>
    <s v="P00741"/>
    <x v="6"/>
    <x v="9"/>
    <x v="4"/>
    <x v="4"/>
    <x v="1"/>
    <x v="1"/>
    <x v="10"/>
    <n v="108"/>
    <n v="6.4"/>
    <s v="Snapdragon 680"/>
    <x v="1"/>
    <s v="Black"/>
    <x v="0"/>
    <x v="1"/>
    <x v="1"/>
    <n v="299"/>
    <x v="22"/>
  </r>
  <r>
    <s v="P00742"/>
    <x v="4"/>
    <x v="4"/>
    <x v="0"/>
    <x v="0"/>
    <x v="2"/>
    <x v="1"/>
    <x v="10"/>
    <n v="50"/>
    <n v="6.5"/>
    <s v="Dimensity 7200"/>
    <x v="0"/>
    <s v="Black"/>
    <x v="1"/>
    <x v="0"/>
    <x v="0"/>
    <n v="549"/>
    <x v="65"/>
  </r>
  <r>
    <s v="P00743"/>
    <x v="2"/>
    <x v="2"/>
    <x v="2"/>
    <x v="2"/>
    <x v="2"/>
    <x v="0"/>
    <x v="11"/>
    <n v="108"/>
    <n v="6.78"/>
    <s v="Dimensity 8020"/>
    <x v="0"/>
    <s v="Blue"/>
    <x v="0"/>
    <x v="3"/>
    <x v="0"/>
    <n v="599"/>
    <x v="203"/>
  </r>
  <r>
    <s v="P00744"/>
    <x v="5"/>
    <x v="5"/>
    <x v="2"/>
    <x v="2"/>
    <x v="1"/>
    <x v="0"/>
    <x v="5"/>
    <n v="12"/>
    <n v="6.2"/>
    <s v="Dimensity 1300"/>
    <x v="1"/>
    <s v="Silver"/>
    <x v="1"/>
    <x v="1"/>
    <x v="0"/>
    <n v="499"/>
    <x v="297"/>
  </r>
  <r>
    <s v="P00745"/>
    <x v="2"/>
    <x v="2"/>
    <x v="2"/>
    <x v="2"/>
    <x v="1"/>
    <x v="2"/>
    <x v="16"/>
    <n v="48"/>
    <n v="6.1"/>
    <s v="Dimensity 8020"/>
    <x v="3"/>
    <s v="Purple"/>
    <x v="1"/>
    <x v="2"/>
    <x v="0"/>
    <n v="599"/>
    <x v="287"/>
  </r>
  <r>
    <s v="P00746"/>
    <x v="3"/>
    <x v="3"/>
    <x v="1"/>
    <x v="1"/>
    <x v="2"/>
    <x v="1"/>
    <x v="20"/>
    <n v="64"/>
    <n v="6.78"/>
    <s v="Snapdragon 8 Gen2"/>
    <x v="3"/>
    <s v="Silver"/>
    <x v="1"/>
    <x v="6"/>
    <x v="1"/>
    <n v="799"/>
    <x v="353"/>
  </r>
  <r>
    <s v="P00747"/>
    <x v="7"/>
    <x v="11"/>
    <x v="0"/>
    <x v="0"/>
    <x v="2"/>
    <x v="3"/>
    <x v="12"/>
    <n v="108"/>
    <n v="6.7"/>
    <s v="A15"/>
    <x v="0"/>
    <s v="Green"/>
    <x v="0"/>
    <x v="6"/>
    <x v="0"/>
    <n v="899"/>
    <x v="354"/>
  </r>
  <r>
    <s v="P00748"/>
    <x v="1"/>
    <x v="1"/>
    <x v="2"/>
    <x v="2"/>
    <x v="0"/>
    <x v="2"/>
    <x v="19"/>
    <n v="48"/>
    <n v="6.4"/>
    <s v="Tensor G2"/>
    <x v="3"/>
    <s v="White"/>
    <x v="1"/>
    <x v="3"/>
    <x v="1"/>
    <n v="599"/>
    <x v="257"/>
  </r>
  <r>
    <s v="P00749"/>
    <x v="4"/>
    <x v="4"/>
    <x v="2"/>
    <x v="2"/>
    <x v="2"/>
    <x v="3"/>
    <x v="20"/>
    <n v="50"/>
    <n v="6.7"/>
    <s v="Dimensity 7200"/>
    <x v="1"/>
    <s v="Blue"/>
    <x v="0"/>
    <x v="0"/>
    <x v="0"/>
    <n v="549"/>
    <x v="9"/>
  </r>
  <r>
    <s v="P00750"/>
    <x v="1"/>
    <x v="1"/>
    <x v="3"/>
    <x v="3"/>
    <x v="0"/>
    <x v="1"/>
    <x v="5"/>
    <n v="50"/>
    <n v="6.7"/>
    <s v="Tensor G2"/>
    <x v="3"/>
    <s v="White"/>
    <x v="1"/>
    <x v="7"/>
    <x v="0"/>
    <n v="599"/>
    <x v="1"/>
  </r>
  <r>
    <s v="P00751"/>
    <x v="8"/>
    <x v="8"/>
    <x v="2"/>
    <x v="2"/>
    <x v="3"/>
    <x v="1"/>
    <x v="16"/>
    <n v="108"/>
    <n v="6.5"/>
    <s v="Kirin 9000"/>
    <x v="0"/>
    <s v="Green"/>
    <x v="1"/>
    <x v="2"/>
    <x v="0"/>
    <n v="699"/>
    <x v="355"/>
  </r>
  <r>
    <s v="P00752"/>
    <x v="4"/>
    <x v="4"/>
    <x v="3"/>
    <x v="3"/>
    <x v="0"/>
    <x v="1"/>
    <x v="1"/>
    <n v="50"/>
    <n v="6.7"/>
    <s v="Dimensity 7200"/>
    <x v="3"/>
    <s v="Blue"/>
    <x v="1"/>
    <x v="4"/>
    <x v="0"/>
    <n v="549"/>
    <x v="9"/>
  </r>
  <r>
    <s v="P00753"/>
    <x v="0"/>
    <x v="0"/>
    <x v="2"/>
    <x v="2"/>
    <x v="3"/>
    <x v="3"/>
    <x v="10"/>
    <n v="48"/>
    <n v="6.1"/>
    <s v="Dimensity 8100"/>
    <x v="0"/>
    <s v="Purple"/>
    <x v="1"/>
    <x v="1"/>
    <x v="1"/>
    <n v="599"/>
    <x v="259"/>
  </r>
  <r>
    <s v="P00754"/>
    <x v="4"/>
    <x v="4"/>
    <x v="3"/>
    <x v="3"/>
    <x v="0"/>
    <x v="3"/>
    <x v="12"/>
    <n v="64"/>
    <n v="6.1"/>
    <s v="Dimensity 7200"/>
    <x v="3"/>
    <s v="Blue"/>
    <x v="0"/>
    <x v="4"/>
    <x v="0"/>
    <n v="549"/>
    <x v="9"/>
  </r>
  <r>
    <s v="P00755"/>
    <x v="1"/>
    <x v="1"/>
    <x v="1"/>
    <x v="1"/>
    <x v="2"/>
    <x v="0"/>
    <x v="7"/>
    <n v="64"/>
    <n v="6.2"/>
    <s v="Tensor G2"/>
    <x v="0"/>
    <s v="Silver"/>
    <x v="1"/>
    <x v="3"/>
    <x v="1"/>
    <n v="599"/>
    <x v="43"/>
  </r>
  <r>
    <s v="P00756"/>
    <x v="3"/>
    <x v="3"/>
    <x v="3"/>
    <x v="3"/>
    <x v="1"/>
    <x v="0"/>
    <x v="24"/>
    <n v="64"/>
    <n v="6.4"/>
    <s v="Snapdragon 8 Gen2"/>
    <x v="3"/>
    <s v="Blue"/>
    <x v="1"/>
    <x v="7"/>
    <x v="1"/>
    <n v="799"/>
    <x v="356"/>
  </r>
  <r>
    <s v="P00757"/>
    <x v="3"/>
    <x v="3"/>
    <x v="0"/>
    <x v="0"/>
    <x v="3"/>
    <x v="2"/>
    <x v="25"/>
    <n v="48"/>
    <n v="6.78"/>
    <s v="Snapdragon 8 Gen2"/>
    <x v="1"/>
    <s v="White"/>
    <x v="0"/>
    <x v="1"/>
    <x v="0"/>
    <n v="799"/>
    <x v="280"/>
  </r>
  <r>
    <s v="P00758"/>
    <x v="9"/>
    <x v="10"/>
    <x v="2"/>
    <x v="2"/>
    <x v="2"/>
    <x v="3"/>
    <x v="18"/>
    <n v="64"/>
    <n v="6.78"/>
    <s v="Exynos 1380"/>
    <x v="0"/>
    <s v="Purple"/>
    <x v="1"/>
    <x v="4"/>
    <x v="1"/>
    <n v="449"/>
    <x v="357"/>
  </r>
  <r>
    <s v="P00759"/>
    <x v="1"/>
    <x v="1"/>
    <x v="0"/>
    <x v="0"/>
    <x v="2"/>
    <x v="1"/>
    <x v="7"/>
    <n v="108"/>
    <n v="6.1"/>
    <s v="Tensor G2"/>
    <x v="0"/>
    <s v="Silver"/>
    <x v="1"/>
    <x v="7"/>
    <x v="0"/>
    <n v="599"/>
    <x v="132"/>
  </r>
  <r>
    <s v="P00760"/>
    <x v="5"/>
    <x v="5"/>
    <x v="0"/>
    <x v="0"/>
    <x v="1"/>
    <x v="3"/>
    <x v="10"/>
    <n v="12"/>
    <n v="6.7"/>
    <s v="Dimensity 1300"/>
    <x v="0"/>
    <s v="Green"/>
    <x v="0"/>
    <x v="5"/>
    <x v="0"/>
    <n v="499"/>
    <x v="358"/>
  </r>
  <r>
    <s v="P00761"/>
    <x v="7"/>
    <x v="7"/>
    <x v="2"/>
    <x v="2"/>
    <x v="1"/>
    <x v="0"/>
    <x v="18"/>
    <n v="12"/>
    <n v="6.4"/>
    <s v="A15"/>
    <x v="0"/>
    <s v="Silver"/>
    <x v="1"/>
    <x v="4"/>
    <x v="1"/>
    <n v="799"/>
    <x v="229"/>
  </r>
  <r>
    <s v="P00762"/>
    <x v="1"/>
    <x v="1"/>
    <x v="3"/>
    <x v="3"/>
    <x v="0"/>
    <x v="2"/>
    <x v="24"/>
    <n v="64"/>
    <n v="6.78"/>
    <s v="Tensor G2"/>
    <x v="3"/>
    <s v="White"/>
    <x v="0"/>
    <x v="3"/>
    <x v="0"/>
    <n v="599"/>
    <x v="337"/>
  </r>
  <r>
    <s v="P00763"/>
    <x v="8"/>
    <x v="8"/>
    <x v="4"/>
    <x v="4"/>
    <x v="2"/>
    <x v="2"/>
    <x v="21"/>
    <n v="50"/>
    <n v="6.5"/>
    <s v="Kirin 9000"/>
    <x v="0"/>
    <s v="Purple"/>
    <x v="1"/>
    <x v="1"/>
    <x v="1"/>
    <n v="699"/>
    <x v="79"/>
  </r>
  <r>
    <s v="P00764"/>
    <x v="4"/>
    <x v="4"/>
    <x v="3"/>
    <x v="3"/>
    <x v="1"/>
    <x v="2"/>
    <x v="14"/>
    <n v="108"/>
    <n v="6.1"/>
    <s v="Dimensity 7200"/>
    <x v="3"/>
    <s v="Purple"/>
    <x v="1"/>
    <x v="5"/>
    <x v="0"/>
    <n v="549"/>
    <x v="225"/>
  </r>
  <r>
    <s v="P00765"/>
    <x v="6"/>
    <x v="6"/>
    <x v="0"/>
    <x v="0"/>
    <x v="2"/>
    <x v="2"/>
    <x v="6"/>
    <n v="64"/>
    <n v="6.1"/>
    <s v="Snapdragon 778G"/>
    <x v="1"/>
    <s v="White"/>
    <x v="1"/>
    <x v="2"/>
    <x v="0"/>
    <n v="399"/>
    <x v="359"/>
  </r>
  <r>
    <s v="P00766"/>
    <x v="7"/>
    <x v="11"/>
    <x v="1"/>
    <x v="1"/>
    <x v="2"/>
    <x v="0"/>
    <x v="22"/>
    <n v="12"/>
    <n v="6.7"/>
    <s v="A15"/>
    <x v="3"/>
    <s v="Purple"/>
    <x v="1"/>
    <x v="1"/>
    <x v="0"/>
    <n v="899"/>
    <x v="360"/>
  </r>
  <r>
    <s v="P00767"/>
    <x v="6"/>
    <x v="9"/>
    <x v="0"/>
    <x v="0"/>
    <x v="1"/>
    <x v="2"/>
    <x v="23"/>
    <n v="48"/>
    <n v="6.4"/>
    <s v="Snapdragon 680"/>
    <x v="1"/>
    <s v="Silver"/>
    <x v="0"/>
    <x v="5"/>
    <x v="0"/>
    <n v="299"/>
    <x v="78"/>
  </r>
  <r>
    <s v="P00768"/>
    <x v="4"/>
    <x v="4"/>
    <x v="2"/>
    <x v="2"/>
    <x v="3"/>
    <x v="1"/>
    <x v="7"/>
    <n v="48"/>
    <n v="6.2"/>
    <s v="Dimensity 7200"/>
    <x v="3"/>
    <s v="Green"/>
    <x v="1"/>
    <x v="1"/>
    <x v="0"/>
    <n v="549"/>
    <x v="9"/>
  </r>
  <r>
    <s v="P00769"/>
    <x v="1"/>
    <x v="1"/>
    <x v="2"/>
    <x v="2"/>
    <x v="0"/>
    <x v="3"/>
    <x v="19"/>
    <n v="50"/>
    <n v="6.4"/>
    <s v="Tensor G2"/>
    <x v="3"/>
    <s v="Silver"/>
    <x v="1"/>
    <x v="3"/>
    <x v="1"/>
    <n v="599"/>
    <x v="8"/>
  </r>
  <r>
    <s v="P00770"/>
    <x v="0"/>
    <x v="0"/>
    <x v="0"/>
    <x v="0"/>
    <x v="1"/>
    <x v="2"/>
    <x v="14"/>
    <n v="64"/>
    <n v="6.2"/>
    <s v="Dimensity 8100"/>
    <x v="1"/>
    <s v="Purple"/>
    <x v="1"/>
    <x v="4"/>
    <x v="1"/>
    <n v="599"/>
    <x v="286"/>
  </r>
  <r>
    <s v="P00771"/>
    <x v="4"/>
    <x v="4"/>
    <x v="4"/>
    <x v="4"/>
    <x v="0"/>
    <x v="1"/>
    <x v="23"/>
    <n v="12"/>
    <n v="6.67"/>
    <s v="Dimensity 7200"/>
    <x v="2"/>
    <s v="Purple"/>
    <x v="0"/>
    <x v="0"/>
    <x v="1"/>
    <n v="549"/>
    <x v="185"/>
  </r>
  <r>
    <s v="P00772"/>
    <x v="8"/>
    <x v="8"/>
    <x v="0"/>
    <x v="0"/>
    <x v="1"/>
    <x v="0"/>
    <x v="0"/>
    <n v="48"/>
    <n v="6.5"/>
    <s v="Kirin 9000"/>
    <x v="2"/>
    <s v="Silver"/>
    <x v="0"/>
    <x v="1"/>
    <x v="1"/>
    <n v="699"/>
    <x v="361"/>
  </r>
  <r>
    <s v="P00773"/>
    <x v="7"/>
    <x v="13"/>
    <x v="1"/>
    <x v="1"/>
    <x v="2"/>
    <x v="2"/>
    <x v="15"/>
    <n v="48"/>
    <n v="6.78"/>
    <s v="A14"/>
    <x v="0"/>
    <s v="Blue"/>
    <x v="1"/>
    <x v="7"/>
    <x v="1"/>
    <n v="699"/>
    <x v="232"/>
  </r>
  <r>
    <s v="P00774"/>
    <x v="8"/>
    <x v="8"/>
    <x v="2"/>
    <x v="2"/>
    <x v="0"/>
    <x v="1"/>
    <x v="2"/>
    <n v="48"/>
    <n v="6.78"/>
    <s v="Kirin 9000"/>
    <x v="0"/>
    <s v="Green"/>
    <x v="0"/>
    <x v="5"/>
    <x v="1"/>
    <n v="699"/>
    <x v="362"/>
  </r>
  <r>
    <s v="P00775"/>
    <x v="4"/>
    <x v="4"/>
    <x v="0"/>
    <x v="0"/>
    <x v="1"/>
    <x v="2"/>
    <x v="7"/>
    <n v="48"/>
    <n v="6.7"/>
    <s v="Dimensity 7200"/>
    <x v="0"/>
    <s v="Green"/>
    <x v="1"/>
    <x v="3"/>
    <x v="0"/>
    <n v="549"/>
    <x v="344"/>
  </r>
  <r>
    <s v="P00776"/>
    <x v="1"/>
    <x v="1"/>
    <x v="4"/>
    <x v="4"/>
    <x v="3"/>
    <x v="1"/>
    <x v="2"/>
    <n v="50"/>
    <n v="6.5"/>
    <s v="Tensor G2"/>
    <x v="1"/>
    <s v="Silver"/>
    <x v="1"/>
    <x v="2"/>
    <x v="0"/>
    <n v="599"/>
    <x v="1"/>
  </r>
  <r>
    <s v="P00777"/>
    <x v="0"/>
    <x v="0"/>
    <x v="2"/>
    <x v="2"/>
    <x v="3"/>
    <x v="1"/>
    <x v="3"/>
    <n v="50"/>
    <n v="6.7"/>
    <s v="Dimensity 8100"/>
    <x v="1"/>
    <s v="White"/>
    <x v="0"/>
    <x v="0"/>
    <x v="0"/>
    <n v="599"/>
    <x v="1"/>
  </r>
  <r>
    <s v="P00778"/>
    <x v="3"/>
    <x v="3"/>
    <x v="1"/>
    <x v="1"/>
    <x v="1"/>
    <x v="1"/>
    <x v="8"/>
    <n v="64"/>
    <n v="6.1"/>
    <s v="Snapdragon 8 Gen2"/>
    <x v="2"/>
    <s v="Blue"/>
    <x v="0"/>
    <x v="7"/>
    <x v="1"/>
    <n v="799"/>
    <x v="123"/>
  </r>
  <r>
    <s v="P00779"/>
    <x v="5"/>
    <x v="5"/>
    <x v="0"/>
    <x v="0"/>
    <x v="2"/>
    <x v="2"/>
    <x v="10"/>
    <n v="12"/>
    <n v="6.78"/>
    <s v="Dimensity 1300"/>
    <x v="3"/>
    <s v="Silver"/>
    <x v="0"/>
    <x v="2"/>
    <x v="0"/>
    <n v="499"/>
    <x v="301"/>
  </r>
  <r>
    <s v="P00780"/>
    <x v="6"/>
    <x v="6"/>
    <x v="3"/>
    <x v="3"/>
    <x v="2"/>
    <x v="3"/>
    <x v="19"/>
    <n v="12"/>
    <n v="6.1"/>
    <s v="Snapdragon 778G"/>
    <x v="0"/>
    <s v="Blue"/>
    <x v="0"/>
    <x v="2"/>
    <x v="1"/>
    <n v="399"/>
    <x v="363"/>
  </r>
  <r>
    <s v="P00781"/>
    <x v="0"/>
    <x v="0"/>
    <x v="0"/>
    <x v="0"/>
    <x v="3"/>
    <x v="3"/>
    <x v="24"/>
    <n v="64"/>
    <n v="6.7"/>
    <s v="Dimensity 8100"/>
    <x v="1"/>
    <s v="White"/>
    <x v="1"/>
    <x v="4"/>
    <x v="1"/>
    <n v="599"/>
    <x v="349"/>
  </r>
  <r>
    <s v="P00782"/>
    <x v="7"/>
    <x v="11"/>
    <x v="2"/>
    <x v="2"/>
    <x v="2"/>
    <x v="2"/>
    <x v="22"/>
    <n v="50"/>
    <n v="6.1"/>
    <s v="A15"/>
    <x v="3"/>
    <s v="Green"/>
    <x v="0"/>
    <x v="7"/>
    <x v="1"/>
    <n v="899"/>
    <x v="364"/>
  </r>
  <r>
    <s v="P00783"/>
    <x v="8"/>
    <x v="8"/>
    <x v="2"/>
    <x v="2"/>
    <x v="1"/>
    <x v="3"/>
    <x v="18"/>
    <n v="64"/>
    <n v="6.78"/>
    <s v="Kirin 9000"/>
    <x v="3"/>
    <s v="Silver"/>
    <x v="0"/>
    <x v="0"/>
    <x v="0"/>
    <n v="699"/>
    <x v="234"/>
  </r>
  <r>
    <s v="P00784"/>
    <x v="8"/>
    <x v="8"/>
    <x v="3"/>
    <x v="3"/>
    <x v="3"/>
    <x v="1"/>
    <x v="21"/>
    <n v="108"/>
    <n v="6.2"/>
    <s v="Kirin 9000"/>
    <x v="0"/>
    <s v="Black"/>
    <x v="0"/>
    <x v="4"/>
    <x v="1"/>
    <n v="699"/>
    <x v="315"/>
  </r>
  <r>
    <s v="P00785"/>
    <x v="9"/>
    <x v="12"/>
    <x v="4"/>
    <x v="4"/>
    <x v="3"/>
    <x v="0"/>
    <x v="21"/>
    <n v="48"/>
    <n v="6.4"/>
    <s v="Snapdragon 8 Gen 1"/>
    <x v="3"/>
    <s v="Purple"/>
    <x v="1"/>
    <x v="3"/>
    <x v="1"/>
    <n v="999"/>
    <x v="31"/>
  </r>
  <r>
    <s v="P00786"/>
    <x v="1"/>
    <x v="1"/>
    <x v="4"/>
    <x v="4"/>
    <x v="3"/>
    <x v="3"/>
    <x v="20"/>
    <n v="48"/>
    <n v="6.78"/>
    <s v="Tensor G2"/>
    <x v="0"/>
    <s v="Purple"/>
    <x v="0"/>
    <x v="0"/>
    <x v="0"/>
    <n v="599"/>
    <x v="94"/>
  </r>
  <r>
    <s v="P00787"/>
    <x v="7"/>
    <x v="7"/>
    <x v="0"/>
    <x v="0"/>
    <x v="1"/>
    <x v="1"/>
    <x v="21"/>
    <n v="50"/>
    <n v="6.4"/>
    <s v="A15"/>
    <x v="3"/>
    <s v="Blue"/>
    <x v="1"/>
    <x v="4"/>
    <x v="0"/>
    <n v="799"/>
    <x v="264"/>
  </r>
  <r>
    <s v="P00788"/>
    <x v="1"/>
    <x v="1"/>
    <x v="3"/>
    <x v="3"/>
    <x v="0"/>
    <x v="2"/>
    <x v="13"/>
    <n v="64"/>
    <n v="6.67"/>
    <s v="Tensor G2"/>
    <x v="0"/>
    <s v="Green"/>
    <x v="1"/>
    <x v="0"/>
    <x v="0"/>
    <n v="599"/>
    <x v="306"/>
  </r>
  <r>
    <s v="P00789"/>
    <x v="4"/>
    <x v="4"/>
    <x v="3"/>
    <x v="3"/>
    <x v="1"/>
    <x v="1"/>
    <x v="2"/>
    <n v="12"/>
    <n v="6.7"/>
    <s v="Dimensity 7200"/>
    <x v="3"/>
    <s v="Purple"/>
    <x v="0"/>
    <x v="1"/>
    <x v="1"/>
    <n v="549"/>
    <x v="183"/>
  </r>
  <r>
    <s v="P00790"/>
    <x v="1"/>
    <x v="1"/>
    <x v="1"/>
    <x v="1"/>
    <x v="0"/>
    <x v="1"/>
    <x v="8"/>
    <n v="48"/>
    <n v="6.1"/>
    <s v="Tensor G2"/>
    <x v="1"/>
    <s v="Blue"/>
    <x v="1"/>
    <x v="2"/>
    <x v="0"/>
    <n v="599"/>
    <x v="1"/>
  </r>
  <r>
    <s v="P00791"/>
    <x v="1"/>
    <x v="1"/>
    <x v="2"/>
    <x v="2"/>
    <x v="2"/>
    <x v="3"/>
    <x v="1"/>
    <n v="48"/>
    <n v="6.78"/>
    <s v="Tensor G2"/>
    <x v="3"/>
    <s v="Blue"/>
    <x v="1"/>
    <x v="2"/>
    <x v="1"/>
    <n v="599"/>
    <x v="138"/>
  </r>
  <r>
    <s v="P00792"/>
    <x v="8"/>
    <x v="8"/>
    <x v="3"/>
    <x v="3"/>
    <x v="1"/>
    <x v="0"/>
    <x v="24"/>
    <n v="50"/>
    <n v="6.5"/>
    <s v="Kirin 9000"/>
    <x v="3"/>
    <s v="White"/>
    <x v="0"/>
    <x v="5"/>
    <x v="1"/>
    <n v="699"/>
    <x v="227"/>
  </r>
  <r>
    <s v="P00793"/>
    <x v="4"/>
    <x v="4"/>
    <x v="1"/>
    <x v="1"/>
    <x v="1"/>
    <x v="2"/>
    <x v="1"/>
    <n v="48"/>
    <n v="6.78"/>
    <s v="Dimensity 7200"/>
    <x v="0"/>
    <s v="Silver"/>
    <x v="0"/>
    <x v="1"/>
    <x v="1"/>
    <n v="549"/>
    <x v="88"/>
  </r>
  <r>
    <s v="P00794"/>
    <x v="9"/>
    <x v="10"/>
    <x v="3"/>
    <x v="3"/>
    <x v="1"/>
    <x v="2"/>
    <x v="16"/>
    <n v="12"/>
    <n v="6.78"/>
    <s v="Exynos 1380"/>
    <x v="2"/>
    <s v="Green"/>
    <x v="0"/>
    <x v="0"/>
    <x v="0"/>
    <n v="449"/>
    <x v="192"/>
  </r>
  <r>
    <s v="P00795"/>
    <x v="1"/>
    <x v="1"/>
    <x v="2"/>
    <x v="2"/>
    <x v="0"/>
    <x v="2"/>
    <x v="12"/>
    <n v="50"/>
    <n v="6.2"/>
    <s v="Tensor G2"/>
    <x v="0"/>
    <s v="Purple"/>
    <x v="1"/>
    <x v="6"/>
    <x v="1"/>
    <n v="599"/>
    <x v="306"/>
  </r>
  <r>
    <s v="P00796"/>
    <x v="5"/>
    <x v="5"/>
    <x v="3"/>
    <x v="3"/>
    <x v="3"/>
    <x v="3"/>
    <x v="14"/>
    <n v="48"/>
    <n v="6.7"/>
    <s v="Dimensity 1300"/>
    <x v="0"/>
    <s v="Blue"/>
    <x v="1"/>
    <x v="1"/>
    <x v="0"/>
    <n v="499"/>
    <x v="2"/>
  </r>
  <r>
    <s v="P00797"/>
    <x v="3"/>
    <x v="3"/>
    <x v="0"/>
    <x v="0"/>
    <x v="0"/>
    <x v="3"/>
    <x v="22"/>
    <n v="50"/>
    <n v="6.2"/>
    <s v="Snapdragon 8 Gen2"/>
    <x v="3"/>
    <s v="Silver"/>
    <x v="1"/>
    <x v="7"/>
    <x v="1"/>
    <n v="799"/>
    <x v="365"/>
  </r>
  <r>
    <s v="P00798"/>
    <x v="0"/>
    <x v="0"/>
    <x v="4"/>
    <x v="4"/>
    <x v="2"/>
    <x v="2"/>
    <x v="14"/>
    <n v="12"/>
    <n v="6.4"/>
    <s v="Dimensity 8100"/>
    <x v="3"/>
    <s v="White"/>
    <x v="1"/>
    <x v="2"/>
    <x v="0"/>
    <n v="599"/>
    <x v="116"/>
  </r>
  <r>
    <s v="P00799"/>
    <x v="2"/>
    <x v="2"/>
    <x v="0"/>
    <x v="0"/>
    <x v="0"/>
    <x v="3"/>
    <x v="11"/>
    <n v="64"/>
    <n v="6.5"/>
    <s v="Dimensity 8020"/>
    <x v="0"/>
    <s v="Purple"/>
    <x v="0"/>
    <x v="2"/>
    <x v="0"/>
    <n v="599"/>
    <x v="158"/>
  </r>
  <r>
    <s v="P00800"/>
    <x v="8"/>
    <x v="8"/>
    <x v="2"/>
    <x v="2"/>
    <x v="3"/>
    <x v="1"/>
    <x v="25"/>
    <n v="12"/>
    <n v="6.1"/>
    <s v="Kirin 9000"/>
    <x v="3"/>
    <s v="Black"/>
    <x v="1"/>
    <x v="5"/>
    <x v="0"/>
    <n v="699"/>
    <x v="253"/>
  </r>
  <r>
    <s v="P00801"/>
    <x v="3"/>
    <x v="3"/>
    <x v="1"/>
    <x v="1"/>
    <x v="0"/>
    <x v="0"/>
    <x v="8"/>
    <n v="12"/>
    <n v="6.4"/>
    <s v="Snapdragon 8 Gen2"/>
    <x v="3"/>
    <s v="White"/>
    <x v="0"/>
    <x v="7"/>
    <x v="1"/>
    <n v="799"/>
    <x v="366"/>
  </r>
  <r>
    <s v="P00802"/>
    <x v="0"/>
    <x v="0"/>
    <x v="4"/>
    <x v="4"/>
    <x v="2"/>
    <x v="1"/>
    <x v="23"/>
    <n v="12"/>
    <n v="6.1"/>
    <s v="Dimensity 8100"/>
    <x v="1"/>
    <s v="White"/>
    <x v="1"/>
    <x v="2"/>
    <x v="1"/>
    <n v="599"/>
    <x v="1"/>
  </r>
  <r>
    <s v="P00803"/>
    <x v="0"/>
    <x v="0"/>
    <x v="2"/>
    <x v="2"/>
    <x v="0"/>
    <x v="0"/>
    <x v="16"/>
    <n v="64"/>
    <n v="6.67"/>
    <s v="Dimensity 8100"/>
    <x v="1"/>
    <s v="Blue"/>
    <x v="0"/>
    <x v="5"/>
    <x v="1"/>
    <n v="599"/>
    <x v="173"/>
  </r>
  <r>
    <s v="P00804"/>
    <x v="8"/>
    <x v="8"/>
    <x v="3"/>
    <x v="3"/>
    <x v="0"/>
    <x v="0"/>
    <x v="14"/>
    <n v="108"/>
    <n v="6.1"/>
    <s v="Kirin 9000"/>
    <x v="0"/>
    <s v="White"/>
    <x v="0"/>
    <x v="5"/>
    <x v="1"/>
    <n v="699"/>
    <x v="50"/>
  </r>
  <r>
    <s v="P00805"/>
    <x v="4"/>
    <x v="4"/>
    <x v="0"/>
    <x v="0"/>
    <x v="3"/>
    <x v="0"/>
    <x v="9"/>
    <n v="64"/>
    <n v="6.1"/>
    <s v="Dimensity 7200"/>
    <x v="2"/>
    <s v="Blue"/>
    <x v="0"/>
    <x v="6"/>
    <x v="0"/>
    <n v="549"/>
    <x v="367"/>
  </r>
  <r>
    <s v="P00806"/>
    <x v="7"/>
    <x v="7"/>
    <x v="4"/>
    <x v="4"/>
    <x v="3"/>
    <x v="0"/>
    <x v="22"/>
    <n v="50"/>
    <n v="6.4"/>
    <s v="A15"/>
    <x v="3"/>
    <s v="Black"/>
    <x v="1"/>
    <x v="3"/>
    <x v="1"/>
    <n v="799"/>
    <x v="368"/>
  </r>
  <r>
    <s v="P00807"/>
    <x v="1"/>
    <x v="1"/>
    <x v="2"/>
    <x v="2"/>
    <x v="2"/>
    <x v="1"/>
    <x v="14"/>
    <n v="64"/>
    <n v="6.2"/>
    <s v="Tensor G2"/>
    <x v="0"/>
    <s v="Purple"/>
    <x v="0"/>
    <x v="7"/>
    <x v="1"/>
    <n v="599"/>
    <x v="109"/>
  </r>
  <r>
    <s v="P00808"/>
    <x v="5"/>
    <x v="5"/>
    <x v="4"/>
    <x v="4"/>
    <x v="3"/>
    <x v="0"/>
    <x v="25"/>
    <n v="50"/>
    <n v="6.4"/>
    <s v="Dimensity 1300"/>
    <x v="0"/>
    <s v="Purple"/>
    <x v="1"/>
    <x v="2"/>
    <x v="0"/>
    <n v="499"/>
    <x v="304"/>
  </r>
  <r>
    <s v="P00809"/>
    <x v="7"/>
    <x v="7"/>
    <x v="1"/>
    <x v="1"/>
    <x v="3"/>
    <x v="0"/>
    <x v="8"/>
    <n v="12"/>
    <n v="6.2"/>
    <s v="A15"/>
    <x v="1"/>
    <s v="Black"/>
    <x v="0"/>
    <x v="0"/>
    <x v="1"/>
    <n v="799"/>
    <x v="369"/>
  </r>
  <r>
    <s v="P00810"/>
    <x v="0"/>
    <x v="0"/>
    <x v="2"/>
    <x v="2"/>
    <x v="3"/>
    <x v="1"/>
    <x v="17"/>
    <n v="12"/>
    <n v="6.7"/>
    <s v="Dimensity 8100"/>
    <x v="3"/>
    <s v="Green"/>
    <x v="1"/>
    <x v="6"/>
    <x v="1"/>
    <n v="599"/>
    <x v="186"/>
  </r>
  <r>
    <s v="P00811"/>
    <x v="1"/>
    <x v="1"/>
    <x v="3"/>
    <x v="3"/>
    <x v="3"/>
    <x v="0"/>
    <x v="6"/>
    <n v="108"/>
    <n v="6.2"/>
    <s v="Tensor G2"/>
    <x v="0"/>
    <s v="Silver"/>
    <x v="1"/>
    <x v="4"/>
    <x v="1"/>
    <n v="599"/>
    <x v="174"/>
  </r>
  <r>
    <s v="P00812"/>
    <x v="1"/>
    <x v="1"/>
    <x v="4"/>
    <x v="4"/>
    <x v="1"/>
    <x v="1"/>
    <x v="10"/>
    <n v="48"/>
    <n v="6.5"/>
    <s v="Tensor G2"/>
    <x v="0"/>
    <s v="Blue"/>
    <x v="1"/>
    <x v="0"/>
    <x v="0"/>
    <n v="599"/>
    <x v="351"/>
  </r>
  <r>
    <s v="P00813"/>
    <x v="2"/>
    <x v="2"/>
    <x v="2"/>
    <x v="2"/>
    <x v="1"/>
    <x v="1"/>
    <x v="11"/>
    <n v="50"/>
    <n v="6.1"/>
    <s v="Dimensity 8020"/>
    <x v="1"/>
    <s v="Green"/>
    <x v="1"/>
    <x v="7"/>
    <x v="1"/>
    <n v="599"/>
    <x v="1"/>
  </r>
  <r>
    <s v="P00814"/>
    <x v="6"/>
    <x v="9"/>
    <x v="3"/>
    <x v="3"/>
    <x v="0"/>
    <x v="3"/>
    <x v="14"/>
    <n v="48"/>
    <n v="6.2"/>
    <s v="Snapdragon 680"/>
    <x v="0"/>
    <s v="Green"/>
    <x v="0"/>
    <x v="3"/>
    <x v="1"/>
    <n v="299"/>
    <x v="22"/>
  </r>
  <r>
    <s v="P00815"/>
    <x v="1"/>
    <x v="1"/>
    <x v="0"/>
    <x v="0"/>
    <x v="1"/>
    <x v="0"/>
    <x v="1"/>
    <n v="64"/>
    <n v="6.67"/>
    <s v="Tensor G2"/>
    <x v="0"/>
    <s v="Green"/>
    <x v="0"/>
    <x v="6"/>
    <x v="0"/>
    <n v="599"/>
    <x v="370"/>
  </r>
  <r>
    <s v="P00816"/>
    <x v="8"/>
    <x v="8"/>
    <x v="1"/>
    <x v="1"/>
    <x v="1"/>
    <x v="1"/>
    <x v="23"/>
    <n v="50"/>
    <n v="6.2"/>
    <s v="Kirin 9000"/>
    <x v="1"/>
    <s v="Green"/>
    <x v="0"/>
    <x v="6"/>
    <x v="1"/>
    <n v="699"/>
    <x v="80"/>
  </r>
  <r>
    <s v="P00817"/>
    <x v="0"/>
    <x v="0"/>
    <x v="2"/>
    <x v="2"/>
    <x v="3"/>
    <x v="2"/>
    <x v="15"/>
    <n v="48"/>
    <n v="6.7"/>
    <s v="Dimensity 8100"/>
    <x v="3"/>
    <s v="Black"/>
    <x v="0"/>
    <x v="3"/>
    <x v="0"/>
    <n v="599"/>
    <x v="229"/>
  </r>
  <r>
    <s v="P00818"/>
    <x v="8"/>
    <x v="8"/>
    <x v="2"/>
    <x v="2"/>
    <x v="2"/>
    <x v="2"/>
    <x v="21"/>
    <n v="48"/>
    <n v="6.67"/>
    <s v="Kirin 9000"/>
    <x v="3"/>
    <s v="Black"/>
    <x v="0"/>
    <x v="1"/>
    <x v="0"/>
    <n v="699"/>
    <x v="295"/>
  </r>
  <r>
    <s v="P00819"/>
    <x v="6"/>
    <x v="6"/>
    <x v="2"/>
    <x v="2"/>
    <x v="0"/>
    <x v="1"/>
    <x v="14"/>
    <n v="108"/>
    <n v="6.1"/>
    <s v="Snapdragon 778G"/>
    <x v="1"/>
    <s v="Purple"/>
    <x v="0"/>
    <x v="6"/>
    <x v="1"/>
    <n v="399"/>
    <x v="42"/>
  </r>
  <r>
    <s v="P00820"/>
    <x v="8"/>
    <x v="8"/>
    <x v="4"/>
    <x v="4"/>
    <x v="2"/>
    <x v="0"/>
    <x v="10"/>
    <n v="108"/>
    <n v="6.2"/>
    <s v="Kirin 9000"/>
    <x v="0"/>
    <s v="White"/>
    <x v="0"/>
    <x v="0"/>
    <x v="1"/>
    <n v="699"/>
    <x v="79"/>
  </r>
  <r>
    <s v="P00821"/>
    <x v="3"/>
    <x v="3"/>
    <x v="0"/>
    <x v="0"/>
    <x v="0"/>
    <x v="3"/>
    <x v="13"/>
    <n v="48"/>
    <n v="6.78"/>
    <s v="Snapdragon 8 Gen2"/>
    <x v="1"/>
    <s v="Purple"/>
    <x v="1"/>
    <x v="4"/>
    <x v="0"/>
    <n v="799"/>
    <x v="371"/>
  </r>
  <r>
    <s v="P00822"/>
    <x v="6"/>
    <x v="9"/>
    <x v="3"/>
    <x v="3"/>
    <x v="2"/>
    <x v="0"/>
    <x v="16"/>
    <n v="50"/>
    <n v="6.4"/>
    <s v="Snapdragon 680"/>
    <x v="1"/>
    <s v="White"/>
    <x v="1"/>
    <x v="1"/>
    <x v="0"/>
    <n v="299"/>
    <x v="22"/>
  </r>
  <r>
    <s v="P00823"/>
    <x v="7"/>
    <x v="11"/>
    <x v="4"/>
    <x v="4"/>
    <x v="0"/>
    <x v="3"/>
    <x v="5"/>
    <n v="108"/>
    <n v="6.5"/>
    <s v="A15"/>
    <x v="3"/>
    <s v="Black"/>
    <x v="1"/>
    <x v="3"/>
    <x v="0"/>
    <n v="899"/>
    <x v="372"/>
  </r>
  <r>
    <s v="P00824"/>
    <x v="3"/>
    <x v="3"/>
    <x v="4"/>
    <x v="4"/>
    <x v="0"/>
    <x v="1"/>
    <x v="1"/>
    <n v="12"/>
    <n v="6.7"/>
    <s v="Snapdragon 8 Gen2"/>
    <x v="1"/>
    <s v="Blue"/>
    <x v="0"/>
    <x v="2"/>
    <x v="1"/>
    <n v="799"/>
    <x v="20"/>
  </r>
  <r>
    <s v="P00825"/>
    <x v="0"/>
    <x v="0"/>
    <x v="2"/>
    <x v="2"/>
    <x v="0"/>
    <x v="0"/>
    <x v="13"/>
    <n v="48"/>
    <n v="6.1"/>
    <s v="Dimensity 8100"/>
    <x v="3"/>
    <s v="Black"/>
    <x v="0"/>
    <x v="7"/>
    <x v="0"/>
    <n v="599"/>
    <x v="16"/>
  </r>
  <r>
    <s v="P00826"/>
    <x v="8"/>
    <x v="8"/>
    <x v="2"/>
    <x v="2"/>
    <x v="0"/>
    <x v="3"/>
    <x v="16"/>
    <n v="108"/>
    <n v="6.2"/>
    <s v="Kirin 9000"/>
    <x v="0"/>
    <s v="Silver"/>
    <x v="0"/>
    <x v="6"/>
    <x v="1"/>
    <n v="699"/>
    <x v="181"/>
  </r>
  <r>
    <s v="P00827"/>
    <x v="8"/>
    <x v="8"/>
    <x v="0"/>
    <x v="0"/>
    <x v="2"/>
    <x v="0"/>
    <x v="10"/>
    <n v="48"/>
    <n v="6.67"/>
    <s v="Kirin 9000"/>
    <x v="0"/>
    <s v="Green"/>
    <x v="1"/>
    <x v="7"/>
    <x v="1"/>
    <n v="699"/>
    <x v="65"/>
  </r>
  <r>
    <s v="P00828"/>
    <x v="1"/>
    <x v="1"/>
    <x v="4"/>
    <x v="4"/>
    <x v="0"/>
    <x v="3"/>
    <x v="9"/>
    <n v="50"/>
    <n v="6.4"/>
    <s v="Tensor G2"/>
    <x v="3"/>
    <s v="White"/>
    <x v="1"/>
    <x v="1"/>
    <x v="0"/>
    <n v="599"/>
    <x v="373"/>
  </r>
  <r>
    <s v="P00829"/>
    <x v="3"/>
    <x v="3"/>
    <x v="4"/>
    <x v="4"/>
    <x v="2"/>
    <x v="2"/>
    <x v="2"/>
    <n v="12"/>
    <n v="6.78"/>
    <s v="Snapdragon 8 Gen2"/>
    <x v="0"/>
    <s v="Green"/>
    <x v="1"/>
    <x v="5"/>
    <x v="1"/>
    <n v="799"/>
    <x v="196"/>
  </r>
  <r>
    <s v="P00830"/>
    <x v="0"/>
    <x v="0"/>
    <x v="1"/>
    <x v="1"/>
    <x v="1"/>
    <x v="0"/>
    <x v="20"/>
    <n v="50"/>
    <n v="6.2"/>
    <s v="Dimensity 8100"/>
    <x v="0"/>
    <s v="Purple"/>
    <x v="1"/>
    <x v="2"/>
    <x v="0"/>
    <n v="599"/>
    <x v="149"/>
  </r>
  <r>
    <s v="P00831"/>
    <x v="9"/>
    <x v="12"/>
    <x v="3"/>
    <x v="3"/>
    <x v="3"/>
    <x v="1"/>
    <x v="10"/>
    <n v="48"/>
    <n v="6.7"/>
    <s v="Snapdragon 8 Gen 1"/>
    <x v="3"/>
    <s v="Blue"/>
    <x v="1"/>
    <x v="0"/>
    <x v="1"/>
    <n v="999"/>
    <x v="374"/>
  </r>
  <r>
    <s v="P00832"/>
    <x v="4"/>
    <x v="4"/>
    <x v="4"/>
    <x v="4"/>
    <x v="2"/>
    <x v="0"/>
    <x v="15"/>
    <n v="108"/>
    <n v="6.7"/>
    <s v="Dimensity 7200"/>
    <x v="0"/>
    <s v="Black"/>
    <x v="0"/>
    <x v="1"/>
    <x v="0"/>
    <n v="549"/>
    <x v="316"/>
  </r>
  <r>
    <s v="P00833"/>
    <x v="6"/>
    <x v="6"/>
    <x v="1"/>
    <x v="1"/>
    <x v="2"/>
    <x v="1"/>
    <x v="14"/>
    <n v="50"/>
    <n v="6.7"/>
    <s v="Snapdragon 778G"/>
    <x v="3"/>
    <s v="Black"/>
    <x v="0"/>
    <x v="4"/>
    <x v="0"/>
    <n v="399"/>
    <x v="42"/>
  </r>
  <r>
    <s v="P00834"/>
    <x v="8"/>
    <x v="8"/>
    <x v="2"/>
    <x v="2"/>
    <x v="1"/>
    <x v="3"/>
    <x v="6"/>
    <n v="12"/>
    <n v="6.67"/>
    <s v="Kirin 9000"/>
    <x v="1"/>
    <s v="Black"/>
    <x v="1"/>
    <x v="4"/>
    <x v="0"/>
    <n v="699"/>
    <x v="375"/>
  </r>
  <r>
    <s v="P00835"/>
    <x v="3"/>
    <x v="3"/>
    <x v="1"/>
    <x v="1"/>
    <x v="3"/>
    <x v="2"/>
    <x v="20"/>
    <n v="108"/>
    <n v="6.4"/>
    <s v="Snapdragon 8 Gen2"/>
    <x v="0"/>
    <s v="White"/>
    <x v="1"/>
    <x v="3"/>
    <x v="0"/>
    <n v="799"/>
    <x v="138"/>
  </r>
  <r>
    <s v="P00836"/>
    <x v="4"/>
    <x v="4"/>
    <x v="3"/>
    <x v="3"/>
    <x v="1"/>
    <x v="0"/>
    <x v="13"/>
    <n v="64"/>
    <n v="6.7"/>
    <s v="Dimensity 7200"/>
    <x v="2"/>
    <s v="Silver"/>
    <x v="1"/>
    <x v="1"/>
    <x v="0"/>
    <n v="549"/>
    <x v="376"/>
  </r>
  <r>
    <s v="P00837"/>
    <x v="6"/>
    <x v="9"/>
    <x v="2"/>
    <x v="2"/>
    <x v="2"/>
    <x v="2"/>
    <x v="1"/>
    <n v="50"/>
    <n v="6.5"/>
    <s v="Snapdragon 680"/>
    <x v="0"/>
    <s v="Green"/>
    <x v="1"/>
    <x v="2"/>
    <x v="0"/>
    <n v="299"/>
    <x v="377"/>
  </r>
  <r>
    <s v="P00838"/>
    <x v="8"/>
    <x v="8"/>
    <x v="4"/>
    <x v="4"/>
    <x v="3"/>
    <x v="3"/>
    <x v="5"/>
    <n v="50"/>
    <n v="6.67"/>
    <s v="Kirin 9000"/>
    <x v="2"/>
    <s v="Green"/>
    <x v="1"/>
    <x v="6"/>
    <x v="0"/>
    <n v="699"/>
    <x v="209"/>
  </r>
  <r>
    <s v="P00839"/>
    <x v="0"/>
    <x v="0"/>
    <x v="3"/>
    <x v="3"/>
    <x v="0"/>
    <x v="0"/>
    <x v="1"/>
    <n v="108"/>
    <n v="6.2"/>
    <s v="Dimensity 8100"/>
    <x v="1"/>
    <s v="Purple"/>
    <x v="1"/>
    <x v="6"/>
    <x v="1"/>
    <n v="599"/>
    <x v="378"/>
  </r>
  <r>
    <s v="P00840"/>
    <x v="7"/>
    <x v="11"/>
    <x v="0"/>
    <x v="0"/>
    <x v="0"/>
    <x v="1"/>
    <x v="25"/>
    <n v="64"/>
    <n v="6.5"/>
    <s v="A15"/>
    <x v="2"/>
    <s v="Purple"/>
    <x v="0"/>
    <x v="0"/>
    <x v="0"/>
    <n v="899"/>
    <x v="51"/>
  </r>
  <r>
    <s v="P00841"/>
    <x v="7"/>
    <x v="11"/>
    <x v="3"/>
    <x v="3"/>
    <x v="0"/>
    <x v="1"/>
    <x v="12"/>
    <n v="50"/>
    <n v="6.4"/>
    <s v="A15"/>
    <x v="1"/>
    <s v="Purple"/>
    <x v="0"/>
    <x v="2"/>
    <x v="0"/>
    <n v="899"/>
    <x v="145"/>
  </r>
  <r>
    <s v="P00842"/>
    <x v="1"/>
    <x v="1"/>
    <x v="2"/>
    <x v="2"/>
    <x v="2"/>
    <x v="3"/>
    <x v="11"/>
    <n v="108"/>
    <n v="6.5"/>
    <s v="Tensor G2"/>
    <x v="2"/>
    <s v="Black"/>
    <x v="0"/>
    <x v="0"/>
    <x v="0"/>
    <n v="599"/>
    <x v="85"/>
  </r>
  <r>
    <s v="P00843"/>
    <x v="3"/>
    <x v="3"/>
    <x v="2"/>
    <x v="2"/>
    <x v="3"/>
    <x v="0"/>
    <x v="19"/>
    <n v="50"/>
    <n v="6.67"/>
    <s v="Snapdragon 8 Gen2"/>
    <x v="3"/>
    <s v="Blue"/>
    <x v="0"/>
    <x v="7"/>
    <x v="0"/>
    <n v="799"/>
    <x v="379"/>
  </r>
  <r>
    <s v="P00844"/>
    <x v="8"/>
    <x v="8"/>
    <x v="4"/>
    <x v="4"/>
    <x v="2"/>
    <x v="3"/>
    <x v="3"/>
    <n v="64"/>
    <n v="6.7"/>
    <s v="Kirin 9000"/>
    <x v="0"/>
    <s v="Blue"/>
    <x v="0"/>
    <x v="0"/>
    <x v="0"/>
    <n v="699"/>
    <x v="229"/>
  </r>
  <r>
    <s v="P00845"/>
    <x v="6"/>
    <x v="6"/>
    <x v="4"/>
    <x v="4"/>
    <x v="1"/>
    <x v="2"/>
    <x v="17"/>
    <n v="50"/>
    <n v="6.78"/>
    <s v="Snapdragon 778G"/>
    <x v="3"/>
    <s v="Blue"/>
    <x v="1"/>
    <x v="7"/>
    <x v="1"/>
    <n v="399"/>
    <x v="35"/>
  </r>
  <r>
    <s v="P00846"/>
    <x v="4"/>
    <x v="4"/>
    <x v="1"/>
    <x v="1"/>
    <x v="1"/>
    <x v="3"/>
    <x v="4"/>
    <n v="64"/>
    <n v="6.4"/>
    <s v="Dimensity 7200"/>
    <x v="2"/>
    <s v="Purple"/>
    <x v="1"/>
    <x v="0"/>
    <x v="1"/>
    <n v="549"/>
    <x v="380"/>
  </r>
  <r>
    <s v="P00847"/>
    <x v="8"/>
    <x v="8"/>
    <x v="1"/>
    <x v="1"/>
    <x v="3"/>
    <x v="1"/>
    <x v="4"/>
    <n v="48"/>
    <n v="6.7"/>
    <s v="Kirin 9000"/>
    <x v="0"/>
    <s v="Purple"/>
    <x v="0"/>
    <x v="4"/>
    <x v="1"/>
    <n v="699"/>
    <x v="1"/>
  </r>
  <r>
    <s v="P00848"/>
    <x v="0"/>
    <x v="0"/>
    <x v="2"/>
    <x v="2"/>
    <x v="3"/>
    <x v="0"/>
    <x v="19"/>
    <n v="108"/>
    <n v="6.5"/>
    <s v="Dimensity 8100"/>
    <x v="3"/>
    <s v="Black"/>
    <x v="1"/>
    <x v="3"/>
    <x v="0"/>
    <n v="599"/>
    <x v="345"/>
  </r>
  <r>
    <s v="P00849"/>
    <x v="0"/>
    <x v="0"/>
    <x v="1"/>
    <x v="1"/>
    <x v="1"/>
    <x v="1"/>
    <x v="14"/>
    <n v="12"/>
    <n v="6.1"/>
    <s v="Dimensity 8100"/>
    <x v="3"/>
    <s v="Blue"/>
    <x v="0"/>
    <x v="4"/>
    <x v="1"/>
    <n v="599"/>
    <x v="355"/>
  </r>
  <r>
    <s v="P00850"/>
    <x v="0"/>
    <x v="0"/>
    <x v="2"/>
    <x v="2"/>
    <x v="3"/>
    <x v="0"/>
    <x v="20"/>
    <n v="108"/>
    <n v="6.78"/>
    <s v="Dimensity 8100"/>
    <x v="0"/>
    <s v="Green"/>
    <x v="0"/>
    <x v="1"/>
    <x v="1"/>
    <n v="599"/>
    <x v="259"/>
  </r>
  <r>
    <s v="P00851"/>
    <x v="5"/>
    <x v="5"/>
    <x v="0"/>
    <x v="0"/>
    <x v="1"/>
    <x v="3"/>
    <x v="0"/>
    <n v="12"/>
    <n v="6.1"/>
    <s v="Dimensity 1300"/>
    <x v="3"/>
    <s v="Silver"/>
    <x v="0"/>
    <x v="6"/>
    <x v="0"/>
    <n v="499"/>
    <x v="134"/>
  </r>
  <r>
    <s v="P00852"/>
    <x v="9"/>
    <x v="10"/>
    <x v="2"/>
    <x v="2"/>
    <x v="0"/>
    <x v="0"/>
    <x v="25"/>
    <n v="50"/>
    <n v="6.7"/>
    <s v="Exynos 1380"/>
    <x v="2"/>
    <s v="Green"/>
    <x v="1"/>
    <x v="5"/>
    <x v="0"/>
    <n v="449"/>
    <x v="381"/>
  </r>
  <r>
    <s v="P00853"/>
    <x v="0"/>
    <x v="0"/>
    <x v="4"/>
    <x v="4"/>
    <x v="3"/>
    <x v="2"/>
    <x v="23"/>
    <n v="48"/>
    <n v="6.67"/>
    <s v="Dimensity 8100"/>
    <x v="0"/>
    <s v="Silver"/>
    <x v="0"/>
    <x v="3"/>
    <x v="0"/>
    <n v="599"/>
    <x v="101"/>
  </r>
  <r>
    <s v="P00854"/>
    <x v="4"/>
    <x v="4"/>
    <x v="0"/>
    <x v="0"/>
    <x v="1"/>
    <x v="3"/>
    <x v="11"/>
    <n v="48"/>
    <n v="6.4"/>
    <s v="Dimensity 7200"/>
    <x v="2"/>
    <s v="White"/>
    <x v="1"/>
    <x v="0"/>
    <x v="1"/>
    <n v="549"/>
    <x v="382"/>
  </r>
  <r>
    <s v="P00855"/>
    <x v="4"/>
    <x v="4"/>
    <x v="0"/>
    <x v="0"/>
    <x v="0"/>
    <x v="3"/>
    <x v="22"/>
    <n v="50"/>
    <n v="6.78"/>
    <s v="Dimensity 7200"/>
    <x v="3"/>
    <s v="Purple"/>
    <x v="0"/>
    <x v="0"/>
    <x v="0"/>
    <n v="549"/>
    <x v="132"/>
  </r>
  <r>
    <s v="P00856"/>
    <x v="4"/>
    <x v="4"/>
    <x v="0"/>
    <x v="0"/>
    <x v="0"/>
    <x v="2"/>
    <x v="4"/>
    <n v="64"/>
    <n v="6.67"/>
    <s v="Dimensity 7200"/>
    <x v="0"/>
    <s v="Purple"/>
    <x v="1"/>
    <x v="3"/>
    <x v="1"/>
    <n v="549"/>
    <x v="383"/>
  </r>
  <r>
    <s v="P00857"/>
    <x v="3"/>
    <x v="3"/>
    <x v="4"/>
    <x v="4"/>
    <x v="2"/>
    <x v="1"/>
    <x v="3"/>
    <n v="64"/>
    <n v="6.5"/>
    <s v="Snapdragon 8 Gen2"/>
    <x v="0"/>
    <s v="Purple"/>
    <x v="1"/>
    <x v="5"/>
    <x v="1"/>
    <n v="799"/>
    <x v="295"/>
  </r>
  <r>
    <s v="P00858"/>
    <x v="4"/>
    <x v="4"/>
    <x v="1"/>
    <x v="1"/>
    <x v="3"/>
    <x v="1"/>
    <x v="21"/>
    <n v="48"/>
    <n v="6.5"/>
    <s v="Dimensity 7200"/>
    <x v="2"/>
    <s v="Purple"/>
    <x v="0"/>
    <x v="4"/>
    <x v="0"/>
    <n v="549"/>
    <x v="384"/>
  </r>
  <r>
    <s v="P00859"/>
    <x v="0"/>
    <x v="0"/>
    <x v="4"/>
    <x v="4"/>
    <x v="1"/>
    <x v="2"/>
    <x v="20"/>
    <n v="50"/>
    <n v="6.67"/>
    <s v="Dimensity 8100"/>
    <x v="3"/>
    <s v="Purple"/>
    <x v="1"/>
    <x v="2"/>
    <x v="1"/>
    <n v="599"/>
    <x v="72"/>
  </r>
  <r>
    <s v="P00860"/>
    <x v="2"/>
    <x v="2"/>
    <x v="0"/>
    <x v="0"/>
    <x v="0"/>
    <x v="3"/>
    <x v="13"/>
    <n v="108"/>
    <n v="6.67"/>
    <s v="Dimensity 8020"/>
    <x v="0"/>
    <s v="Blue"/>
    <x v="1"/>
    <x v="4"/>
    <x v="1"/>
    <n v="599"/>
    <x v="272"/>
  </r>
  <r>
    <s v="P00861"/>
    <x v="4"/>
    <x v="4"/>
    <x v="2"/>
    <x v="2"/>
    <x v="1"/>
    <x v="0"/>
    <x v="17"/>
    <n v="50"/>
    <n v="6.4"/>
    <s v="Dimensity 7200"/>
    <x v="3"/>
    <s v="Purple"/>
    <x v="0"/>
    <x v="4"/>
    <x v="0"/>
    <n v="549"/>
    <x v="179"/>
  </r>
  <r>
    <s v="P00862"/>
    <x v="1"/>
    <x v="1"/>
    <x v="2"/>
    <x v="2"/>
    <x v="3"/>
    <x v="3"/>
    <x v="9"/>
    <n v="64"/>
    <n v="6.67"/>
    <s v="Tensor G2"/>
    <x v="3"/>
    <s v="Green"/>
    <x v="1"/>
    <x v="4"/>
    <x v="0"/>
    <n v="599"/>
    <x v="287"/>
  </r>
  <r>
    <s v="P00863"/>
    <x v="5"/>
    <x v="5"/>
    <x v="0"/>
    <x v="0"/>
    <x v="0"/>
    <x v="0"/>
    <x v="9"/>
    <n v="12"/>
    <n v="6.67"/>
    <s v="Dimensity 1300"/>
    <x v="2"/>
    <s v="White"/>
    <x v="0"/>
    <x v="7"/>
    <x v="0"/>
    <n v="499"/>
    <x v="35"/>
  </r>
  <r>
    <s v="P00864"/>
    <x v="1"/>
    <x v="1"/>
    <x v="1"/>
    <x v="1"/>
    <x v="3"/>
    <x v="0"/>
    <x v="5"/>
    <n v="64"/>
    <n v="6.5"/>
    <s v="Tensor G2"/>
    <x v="2"/>
    <s v="Black"/>
    <x v="0"/>
    <x v="1"/>
    <x v="0"/>
    <n v="599"/>
    <x v="385"/>
  </r>
  <r>
    <s v="P00865"/>
    <x v="4"/>
    <x v="4"/>
    <x v="2"/>
    <x v="2"/>
    <x v="1"/>
    <x v="0"/>
    <x v="23"/>
    <n v="50"/>
    <n v="6.4"/>
    <s v="Dimensity 7200"/>
    <x v="0"/>
    <s v="Green"/>
    <x v="1"/>
    <x v="5"/>
    <x v="0"/>
    <n v="549"/>
    <x v="141"/>
  </r>
  <r>
    <s v="P00866"/>
    <x v="5"/>
    <x v="5"/>
    <x v="0"/>
    <x v="0"/>
    <x v="3"/>
    <x v="2"/>
    <x v="13"/>
    <n v="48"/>
    <n v="6.7"/>
    <s v="Dimensity 1300"/>
    <x v="1"/>
    <s v="Silver"/>
    <x v="0"/>
    <x v="5"/>
    <x v="1"/>
    <n v="499"/>
    <x v="220"/>
  </r>
  <r>
    <s v="P00867"/>
    <x v="1"/>
    <x v="1"/>
    <x v="1"/>
    <x v="1"/>
    <x v="3"/>
    <x v="3"/>
    <x v="20"/>
    <n v="48"/>
    <n v="6.1"/>
    <s v="Tensor G2"/>
    <x v="0"/>
    <s v="Purple"/>
    <x v="0"/>
    <x v="4"/>
    <x v="1"/>
    <n v="599"/>
    <x v="179"/>
  </r>
  <r>
    <s v="P00868"/>
    <x v="1"/>
    <x v="1"/>
    <x v="2"/>
    <x v="2"/>
    <x v="2"/>
    <x v="3"/>
    <x v="22"/>
    <n v="12"/>
    <n v="6.5"/>
    <s v="Tensor G2"/>
    <x v="3"/>
    <s v="White"/>
    <x v="1"/>
    <x v="7"/>
    <x v="1"/>
    <n v="599"/>
    <x v="266"/>
  </r>
  <r>
    <s v="P00869"/>
    <x v="7"/>
    <x v="7"/>
    <x v="1"/>
    <x v="1"/>
    <x v="2"/>
    <x v="0"/>
    <x v="20"/>
    <n v="48"/>
    <n v="6.2"/>
    <s v="A15"/>
    <x v="1"/>
    <s v="Black"/>
    <x v="1"/>
    <x v="6"/>
    <x v="1"/>
    <n v="799"/>
    <x v="386"/>
  </r>
  <r>
    <s v="P00870"/>
    <x v="3"/>
    <x v="3"/>
    <x v="1"/>
    <x v="1"/>
    <x v="1"/>
    <x v="0"/>
    <x v="8"/>
    <n v="48"/>
    <n v="6.78"/>
    <s v="Snapdragon 8 Gen2"/>
    <x v="3"/>
    <s v="White"/>
    <x v="0"/>
    <x v="0"/>
    <x v="1"/>
    <n v="799"/>
    <x v="330"/>
  </r>
  <r>
    <s v="P00871"/>
    <x v="7"/>
    <x v="7"/>
    <x v="1"/>
    <x v="1"/>
    <x v="0"/>
    <x v="2"/>
    <x v="22"/>
    <n v="64"/>
    <n v="6.5"/>
    <s v="A15"/>
    <x v="3"/>
    <s v="Green"/>
    <x v="0"/>
    <x v="1"/>
    <x v="0"/>
    <n v="799"/>
    <x v="148"/>
  </r>
  <r>
    <s v="P00872"/>
    <x v="8"/>
    <x v="8"/>
    <x v="0"/>
    <x v="0"/>
    <x v="2"/>
    <x v="2"/>
    <x v="24"/>
    <n v="48"/>
    <n v="6.7"/>
    <s v="Kirin 9000"/>
    <x v="1"/>
    <s v="Purple"/>
    <x v="1"/>
    <x v="4"/>
    <x v="0"/>
    <n v="699"/>
    <x v="148"/>
  </r>
  <r>
    <s v="P00873"/>
    <x v="1"/>
    <x v="1"/>
    <x v="2"/>
    <x v="2"/>
    <x v="3"/>
    <x v="1"/>
    <x v="13"/>
    <n v="48"/>
    <n v="6.7"/>
    <s v="Tensor G2"/>
    <x v="2"/>
    <s v="White"/>
    <x v="1"/>
    <x v="5"/>
    <x v="0"/>
    <n v="599"/>
    <x v="104"/>
  </r>
  <r>
    <s v="P00874"/>
    <x v="3"/>
    <x v="3"/>
    <x v="2"/>
    <x v="2"/>
    <x v="2"/>
    <x v="3"/>
    <x v="16"/>
    <n v="64"/>
    <n v="6.5"/>
    <s v="Snapdragon 8 Gen2"/>
    <x v="1"/>
    <s v="Purple"/>
    <x v="0"/>
    <x v="5"/>
    <x v="0"/>
    <n v="799"/>
    <x v="341"/>
  </r>
  <r>
    <s v="P00875"/>
    <x v="0"/>
    <x v="0"/>
    <x v="3"/>
    <x v="3"/>
    <x v="3"/>
    <x v="1"/>
    <x v="3"/>
    <n v="50"/>
    <n v="6.5"/>
    <s v="Dimensity 8100"/>
    <x v="2"/>
    <s v="White"/>
    <x v="0"/>
    <x v="3"/>
    <x v="0"/>
    <n v="599"/>
    <x v="221"/>
  </r>
  <r>
    <s v="P00876"/>
    <x v="9"/>
    <x v="10"/>
    <x v="2"/>
    <x v="2"/>
    <x v="0"/>
    <x v="2"/>
    <x v="25"/>
    <n v="64"/>
    <n v="6.4"/>
    <s v="Exynos 1380"/>
    <x v="3"/>
    <s v="Silver"/>
    <x v="0"/>
    <x v="7"/>
    <x v="1"/>
    <n v="449"/>
    <x v="149"/>
  </r>
  <r>
    <s v="P00877"/>
    <x v="6"/>
    <x v="9"/>
    <x v="0"/>
    <x v="0"/>
    <x v="3"/>
    <x v="3"/>
    <x v="17"/>
    <n v="48"/>
    <n v="6.78"/>
    <s v="Snapdragon 680"/>
    <x v="1"/>
    <s v="White"/>
    <x v="0"/>
    <x v="2"/>
    <x v="1"/>
    <n v="299"/>
    <x v="22"/>
  </r>
  <r>
    <s v="P00878"/>
    <x v="6"/>
    <x v="9"/>
    <x v="4"/>
    <x v="4"/>
    <x v="0"/>
    <x v="2"/>
    <x v="23"/>
    <n v="64"/>
    <n v="6.4"/>
    <s v="Snapdragon 680"/>
    <x v="1"/>
    <s v="Silver"/>
    <x v="0"/>
    <x v="6"/>
    <x v="1"/>
    <n v="299"/>
    <x v="22"/>
  </r>
  <r>
    <s v="P00879"/>
    <x v="9"/>
    <x v="10"/>
    <x v="4"/>
    <x v="4"/>
    <x v="1"/>
    <x v="1"/>
    <x v="10"/>
    <n v="50"/>
    <n v="6.5"/>
    <s v="Exynos 1380"/>
    <x v="0"/>
    <s v="Black"/>
    <x v="0"/>
    <x v="0"/>
    <x v="1"/>
    <n v="449"/>
    <x v="191"/>
  </r>
  <r>
    <s v="P00880"/>
    <x v="9"/>
    <x v="12"/>
    <x v="4"/>
    <x v="4"/>
    <x v="3"/>
    <x v="0"/>
    <x v="21"/>
    <n v="64"/>
    <n v="6.78"/>
    <s v="Snapdragon 8 Gen 1"/>
    <x v="0"/>
    <s v="Silver"/>
    <x v="1"/>
    <x v="5"/>
    <x v="0"/>
    <n v="999"/>
    <x v="387"/>
  </r>
  <r>
    <s v="P00881"/>
    <x v="5"/>
    <x v="5"/>
    <x v="4"/>
    <x v="4"/>
    <x v="1"/>
    <x v="2"/>
    <x v="24"/>
    <n v="50"/>
    <n v="6.5"/>
    <s v="Dimensity 1300"/>
    <x v="1"/>
    <s v="Purple"/>
    <x v="1"/>
    <x v="2"/>
    <x v="1"/>
    <n v="499"/>
    <x v="297"/>
  </r>
  <r>
    <s v="P00882"/>
    <x v="1"/>
    <x v="1"/>
    <x v="4"/>
    <x v="4"/>
    <x v="2"/>
    <x v="1"/>
    <x v="1"/>
    <n v="64"/>
    <n v="6.5"/>
    <s v="Tensor G2"/>
    <x v="0"/>
    <s v="Silver"/>
    <x v="1"/>
    <x v="7"/>
    <x v="1"/>
    <n v="599"/>
    <x v="325"/>
  </r>
  <r>
    <s v="P00883"/>
    <x v="6"/>
    <x v="9"/>
    <x v="4"/>
    <x v="4"/>
    <x v="2"/>
    <x v="2"/>
    <x v="6"/>
    <n v="12"/>
    <n v="6.5"/>
    <s v="Snapdragon 680"/>
    <x v="3"/>
    <s v="Purple"/>
    <x v="1"/>
    <x v="3"/>
    <x v="1"/>
    <n v="299"/>
    <x v="388"/>
  </r>
  <r>
    <s v="P00884"/>
    <x v="5"/>
    <x v="5"/>
    <x v="1"/>
    <x v="1"/>
    <x v="2"/>
    <x v="2"/>
    <x v="8"/>
    <n v="48"/>
    <n v="6.67"/>
    <s v="Dimensity 1300"/>
    <x v="1"/>
    <s v="White"/>
    <x v="0"/>
    <x v="0"/>
    <x v="1"/>
    <n v="499"/>
    <x v="256"/>
  </r>
  <r>
    <s v="P00885"/>
    <x v="0"/>
    <x v="0"/>
    <x v="0"/>
    <x v="0"/>
    <x v="2"/>
    <x v="1"/>
    <x v="25"/>
    <n v="50"/>
    <n v="6.5"/>
    <s v="Dimensity 8100"/>
    <x v="3"/>
    <s v="White"/>
    <x v="0"/>
    <x v="2"/>
    <x v="0"/>
    <n v="599"/>
    <x v="389"/>
  </r>
  <r>
    <s v="P00886"/>
    <x v="5"/>
    <x v="5"/>
    <x v="0"/>
    <x v="0"/>
    <x v="3"/>
    <x v="0"/>
    <x v="2"/>
    <n v="12"/>
    <n v="6.7"/>
    <s v="Dimensity 1300"/>
    <x v="0"/>
    <s v="White"/>
    <x v="1"/>
    <x v="6"/>
    <x v="0"/>
    <n v="499"/>
    <x v="310"/>
  </r>
  <r>
    <s v="P00887"/>
    <x v="8"/>
    <x v="8"/>
    <x v="3"/>
    <x v="3"/>
    <x v="2"/>
    <x v="3"/>
    <x v="8"/>
    <n v="50"/>
    <n v="6.1"/>
    <s v="Kirin 9000"/>
    <x v="3"/>
    <s v="Silver"/>
    <x v="0"/>
    <x v="7"/>
    <x v="1"/>
    <n v="699"/>
    <x v="348"/>
  </r>
  <r>
    <s v="P00888"/>
    <x v="6"/>
    <x v="6"/>
    <x v="3"/>
    <x v="3"/>
    <x v="1"/>
    <x v="3"/>
    <x v="15"/>
    <n v="12"/>
    <n v="6.7"/>
    <s v="Snapdragon 778G"/>
    <x v="0"/>
    <s v="White"/>
    <x v="1"/>
    <x v="5"/>
    <x v="0"/>
    <n v="399"/>
    <x v="390"/>
  </r>
  <r>
    <s v="P00889"/>
    <x v="9"/>
    <x v="12"/>
    <x v="0"/>
    <x v="0"/>
    <x v="1"/>
    <x v="2"/>
    <x v="21"/>
    <n v="108"/>
    <n v="6.7"/>
    <s v="Snapdragon 8 Gen 1"/>
    <x v="0"/>
    <s v="Blue"/>
    <x v="1"/>
    <x v="4"/>
    <x v="0"/>
    <n v="999"/>
    <x v="230"/>
  </r>
  <r>
    <s v="P00890"/>
    <x v="8"/>
    <x v="8"/>
    <x v="2"/>
    <x v="2"/>
    <x v="0"/>
    <x v="0"/>
    <x v="0"/>
    <n v="12"/>
    <n v="6.2"/>
    <s v="Kirin 9000"/>
    <x v="3"/>
    <s v="Blue"/>
    <x v="1"/>
    <x v="6"/>
    <x v="1"/>
    <n v="699"/>
    <x v="6"/>
  </r>
  <r>
    <s v="P00891"/>
    <x v="6"/>
    <x v="6"/>
    <x v="1"/>
    <x v="1"/>
    <x v="0"/>
    <x v="2"/>
    <x v="16"/>
    <n v="64"/>
    <n v="6.2"/>
    <s v="Snapdragon 778G"/>
    <x v="1"/>
    <s v="Blue"/>
    <x v="1"/>
    <x v="5"/>
    <x v="1"/>
    <n v="399"/>
    <x v="310"/>
  </r>
  <r>
    <s v="P00892"/>
    <x v="4"/>
    <x v="4"/>
    <x v="1"/>
    <x v="1"/>
    <x v="1"/>
    <x v="2"/>
    <x v="19"/>
    <n v="108"/>
    <n v="6.78"/>
    <s v="Dimensity 7200"/>
    <x v="3"/>
    <s v="Blue"/>
    <x v="0"/>
    <x v="0"/>
    <x v="1"/>
    <n v="549"/>
    <x v="101"/>
  </r>
  <r>
    <s v="P00893"/>
    <x v="5"/>
    <x v="5"/>
    <x v="2"/>
    <x v="2"/>
    <x v="0"/>
    <x v="3"/>
    <x v="20"/>
    <n v="48"/>
    <n v="6.2"/>
    <s v="Dimensity 1300"/>
    <x v="1"/>
    <s v="White"/>
    <x v="0"/>
    <x v="1"/>
    <x v="0"/>
    <n v="499"/>
    <x v="16"/>
  </r>
  <r>
    <s v="P00894"/>
    <x v="7"/>
    <x v="11"/>
    <x v="4"/>
    <x v="4"/>
    <x v="2"/>
    <x v="0"/>
    <x v="19"/>
    <n v="50"/>
    <n v="6.4"/>
    <s v="A15"/>
    <x v="1"/>
    <s v="Silver"/>
    <x v="0"/>
    <x v="4"/>
    <x v="0"/>
    <n v="899"/>
    <x v="391"/>
  </r>
  <r>
    <s v="P00895"/>
    <x v="4"/>
    <x v="4"/>
    <x v="2"/>
    <x v="2"/>
    <x v="2"/>
    <x v="1"/>
    <x v="15"/>
    <n v="108"/>
    <n v="6.1"/>
    <s v="Dimensity 7200"/>
    <x v="0"/>
    <s v="Black"/>
    <x v="1"/>
    <x v="4"/>
    <x v="1"/>
    <n v="549"/>
    <x v="163"/>
  </r>
  <r>
    <s v="P00896"/>
    <x v="3"/>
    <x v="3"/>
    <x v="3"/>
    <x v="3"/>
    <x v="1"/>
    <x v="2"/>
    <x v="25"/>
    <n v="108"/>
    <n v="6.67"/>
    <s v="Snapdragon 8 Gen2"/>
    <x v="2"/>
    <s v="Black"/>
    <x v="0"/>
    <x v="2"/>
    <x v="0"/>
    <n v="799"/>
    <x v="392"/>
  </r>
  <r>
    <s v="P00897"/>
    <x v="7"/>
    <x v="7"/>
    <x v="0"/>
    <x v="0"/>
    <x v="3"/>
    <x v="3"/>
    <x v="12"/>
    <n v="12"/>
    <n v="6.2"/>
    <s v="A15"/>
    <x v="2"/>
    <s v="White"/>
    <x v="0"/>
    <x v="0"/>
    <x v="0"/>
    <n v="799"/>
    <x v="17"/>
  </r>
  <r>
    <s v="P00898"/>
    <x v="2"/>
    <x v="2"/>
    <x v="0"/>
    <x v="0"/>
    <x v="2"/>
    <x v="2"/>
    <x v="9"/>
    <n v="50"/>
    <n v="6.2"/>
    <s v="Dimensity 8020"/>
    <x v="1"/>
    <s v="Silver"/>
    <x v="0"/>
    <x v="7"/>
    <x v="1"/>
    <n v="599"/>
    <x v="25"/>
  </r>
  <r>
    <s v="P00899"/>
    <x v="4"/>
    <x v="4"/>
    <x v="0"/>
    <x v="0"/>
    <x v="0"/>
    <x v="0"/>
    <x v="6"/>
    <n v="64"/>
    <n v="6.4"/>
    <s v="Dimensity 7200"/>
    <x v="0"/>
    <s v="Purple"/>
    <x v="1"/>
    <x v="3"/>
    <x v="0"/>
    <n v="549"/>
    <x v="128"/>
  </r>
  <r>
    <s v="P00900"/>
    <x v="4"/>
    <x v="4"/>
    <x v="1"/>
    <x v="1"/>
    <x v="3"/>
    <x v="0"/>
    <x v="13"/>
    <n v="48"/>
    <n v="6.7"/>
    <s v="Dimensity 7200"/>
    <x v="0"/>
    <s v="Blue"/>
    <x v="1"/>
    <x v="6"/>
    <x v="0"/>
    <n v="549"/>
    <x v="11"/>
  </r>
  <r>
    <s v="P00901"/>
    <x v="8"/>
    <x v="8"/>
    <x v="3"/>
    <x v="3"/>
    <x v="1"/>
    <x v="2"/>
    <x v="10"/>
    <n v="108"/>
    <n v="6.1"/>
    <s v="Kirin 9000"/>
    <x v="2"/>
    <s v="Blue"/>
    <x v="1"/>
    <x v="5"/>
    <x v="0"/>
    <n v="699"/>
    <x v="393"/>
  </r>
  <r>
    <s v="P00902"/>
    <x v="0"/>
    <x v="0"/>
    <x v="0"/>
    <x v="0"/>
    <x v="2"/>
    <x v="1"/>
    <x v="7"/>
    <n v="64"/>
    <n v="6.2"/>
    <s v="Dimensity 8100"/>
    <x v="0"/>
    <s v="Blue"/>
    <x v="1"/>
    <x v="3"/>
    <x v="0"/>
    <n v="599"/>
    <x v="103"/>
  </r>
  <r>
    <s v="P00903"/>
    <x v="1"/>
    <x v="1"/>
    <x v="0"/>
    <x v="0"/>
    <x v="1"/>
    <x v="0"/>
    <x v="0"/>
    <n v="12"/>
    <n v="6.1"/>
    <s v="Tensor G2"/>
    <x v="0"/>
    <s v="White"/>
    <x v="1"/>
    <x v="2"/>
    <x v="1"/>
    <n v="599"/>
    <x v="188"/>
  </r>
  <r>
    <s v="P00904"/>
    <x v="3"/>
    <x v="3"/>
    <x v="3"/>
    <x v="3"/>
    <x v="1"/>
    <x v="3"/>
    <x v="2"/>
    <n v="48"/>
    <n v="6.4"/>
    <s v="Snapdragon 8 Gen2"/>
    <x v="1"/>
    <s v="Green"/>
    <x v="0"/>
    <x v="2"/>
    <x v="1"/>
    <n v="799"/>
    <x v="27"/>
  </r>
  <r>
    <s v="P00905"/>
    <x v="1"/>
    <x v="1"/>
    <x v="3"/>
    <x v="3"/>
    <x v="1"/>
    <x v="3"/>
    <x v="25"/>
    <n v="64"/>
    <n v="6.7"/>
    <s v="Tensor G2"/>
    <x v="0"/>
    <s v="Blue"/>
    <x v="1"/>
    <x v="0"/>
    <x v="1"/>
    <n v="599"/>
    <x v="237"/>
  </r>
  <r>
    <s v="P00906"/>
    <x v="2"/>
    <x v="2"/>
    <x v="2"/>
    <x v="2"/>
    <x v="3"/>
    <x v="0"/>
    <x v="15"/>
    <n v="48"/>
    <n v="6.5"/>
    <s v="Dimensity 8020"/>
    <x v="0"/>
    <s v="Black"/>
    <x v="1"/>
    <x v="3"/>
    <x v="1"/>
    <n v="599"/>
    <x v="43"/>
  </r>
  <r>
    <s v="P00907"/>
    <x v="4"/>
    <x v="4"/>
    <x v="1"/>
    <x v="1"/>
    <x v="3"/>
    <x v="3"/>
    <x v="14"/>
    <n v="50"/>
    <n v="6.67"/>
    <s v="Dimensity 7200"/>
    <x v="3"/>
    <s v="Green"/>
    <x v="0"/>
    <x v="1"/>
    <x v="0"/>
    <n v="549"/>
    <x v="266"/>
  </r>
  <r>
    <s v="P00908"/>
    <x v="1"/>
    <x v="1"/>
    <x v="3"/>
    <x v="3"/>
    <x v="3"/>
    <x v="1"/>
    <x v="8"/>
    <n v="50"/>
    <n v="6.2"/>
    <s v="Tensor G2"/>
    <x v="1"/>
    <s v="Silver"/>
    <x v="1"/>
    <x v="2"/>
    <x v="1"/>
    <n v="599"/>
    <x v="1"/>
  </r>
  <r>
    <s v="P00909"/>
    <x v="7"/>
    <x v="11"/>
    <x v="1"/>
    <x v="1"/>
    <x v="1"/>
    <x v="3"/>
    <x v="9"/>
    <n v="48"/>
    <n v="6.5"/>
    <s v="A15"/>
    <x v="1"/>
    <s v="White"/>
    <x v="0"/>
    <x v="4"/>
    <x v="1"/>
    <n v="899"/>
    <x v="394"/>
  </r>
  <r>
    <s v="P00910"/>
    <x v="1"/>
    <x v="1"/>
    <x v="3"/>
    <x v="3"/>
    <x v="0"/>
    <x v="1"/>
    <x v="9"/>
    <n v="50"/>
    <n v="6.7"/>
    <s v="Tensor G2"/>
    <x v="1"/>
    <s v="Black"/>
    <x v="1"/>
    <x v="5"/>
    <x v="0"/>
    <n v="599"/>
    <x v="1"/>
  </r>
  <r>
    <s v="P00911"/>
    <x v="4"/>
    <x v="4"/>
    <x v="2"/>
    <x v="2"/>
    <x v="3"/>
    <x v="1"/>
    <x v="17"/>
    <n v="50"/>
    <n v="6.2"/>
    <s v="Dimensity 7200"/>
    <x v="3"/>
    <s v="Black"/>
    <x v="0"/>
    <x v="7"/>
    <x v="0"/>
    <n v="549"/>
    <x v="9"/>
  </r>
  <r>
    <s v="P00912"/>
    <x v="9"/>
    <x v="10"/>
    <x v="4"/>
    <x v="4"/>
    <x v="0"/>
    <x v="3"/>
    <x v="14"/>
    <n v="48"/>
    <n v="6.4"/>
    <s v="Exynos 1380"/>
    <x v="3"/>
    <s v="White"/>
    <x v="1"/>
    <x v="4"/>
    <x v="1"/>
    <n v="449"/>
    <x v="0"/>
  </r>
  <r>
    <s v="P00913"/>
    <x v="8"/>
    <x v="8"/>
    <x v="2"/>
    <x v="2"/>
    <x v="0"/>
    <x v="1"/>
    <x v="7"/>
    <n v="48"/>
    <n v="6.67"/>
    <s v="Kirin 9000"/>
    <x v="0"/>
    <s v="Silver"/>
    <x v="1"/>
    <x v="4"/>
    <x v="0"/>
    <n v="699"/>
    <x v="395"/>
  </r>
  <r>
    <s v="P00914"/>
    <x v="8"/>
    <x v="8"/>
    <x v="3"/>
    <x v="3"/>
    <x v="2"/>
    <x v="2"/>
    <x v="9"/>
    <n v="48"/>
    <n v="6.7"/>
    <s v="Kirin 9000"/>
    <x v="0"/>
    <s v="Silver"/>
    <x v="1"/>
    <x v="3"/>
    <x v="1"/>
    <n v="699"/>
    <x v="142"/>
  </r>
  <r>
    <s v="P00915"/>
    <x v="7"/>
    <x v="7"/>
    <x v="3"/>
    <x v="3"/>
    <x v="1"/>
    <x v="3"/>
    <x v="14"/>
    <n v="64"/>
    <n v="6.2"/>
    <s v="A15"/>
    <x v="1"/>
    <s v="Blue"/>
    <x v="0"/>
    <x v="4"/>
    <x v="1"/>
    <n v="799"/>
    <x v="341"/>
  </r>
  <r>
    <s v="P00916"/>
    <x v="1"/>
    <x v="1"/>
    <x v="0"/>
    <x v="0"/>
    <x v="1"/>
    <x v="0"/>
    <x v="6"/>
    <n v="48"/>
    <n v="6.1"/>
    <s v="Tensor G2"/>
    <x v="3"/>
    <s v="Purple"/>
    <x v="1"/>
    <x v="3"/>
    <x v="0"/>
    <n v="599"/>
    <x v="225"/>
  </r>
  <r>
    <s v="P00917"/>
    <x v="0"/>
    <x v="0"/>
    <x v="4"/>
    <x v="4"/>
    <x v="0"/>
    <x v="1"/>
    <x v="11"/>
    <n v="12"/>
    <n v="6.7"/>
    <s v="Dimensity 8100"/>
    <x v="3"/>
    <s v="Silver"/>
    <x v="0"/>
    <x v="5"/>
    <x v="0"/>
    <n v="599"/>
    <x v="77"/>
  </r>
  <r>
    <s v="P00918"/>
    <x v="9"/>
    <x v="12"/>
    <x v="4"/>
    <x v="4"/>
    <x v="0"/>
    <x v="2"/>
    <x v="1"/>
    <n v="64"/>
    <n v="6.7"/>
    <s v="Snapdragon 8 Gen 1"/>
    <x v="0"/>
    <s v="Purple"/>
    <x v="1"/>
    <x v="6"/>
    <x v="1"/>
    <n v="999"/>
    <x v="396"/>
  </r>
  <r>
    <s v="P00919"/>
    <x v="1"/>
    <x v="1"/>
    <x v="3"/>
    <x v="3"/>
    <x v="2"/>
    <x v="2"/>
    <x v="1"/>
    <n v="50"/>
    <n v="6.78"/>
    <s v="Tensor G2"/>
    <x v="1"/>
    <s v="White"/>
    <x v="1"/>
    <x v="4"/>
    <x v="1"/>
    <n v="599"/>
    <x v="234"/>
  </r>
  <r>
    <s v="P00920"/>
    <x v="3"/>
    <x v="3"/>
    <x v="1"/>
    <x v="1"/>
    <x v="1"/>
    <x v="0"/>
    <x v="0"/>
    <n v="108"/>
    <n v="6.7"/>
    <s v="Snapdragon 8 Gen2"/>
    <x v="3"/>
    <s v="Silver"/>
    <x v="0"/>
    <x v="1"/>
    <x v="0"/>
    <n v="799"/>
    <x v="397"/>
  </r>
  <r>
    <s v="P00921"/>
    <x v="4"/>
    <x v="4"/>
    <x v="2"/>
    <x v="2"/>
    <x v="0"/>
    <x v="1"/>
    <x v="6"/>
    <n v="50"/>
    <n v="6.78"/>
    <s v="Dimensity 7200"/>
    <x v="3"/>
    <s v="Purple"/>
    <x v="0"/>
    <x v="7"/>
    <x v="1"/>
    <n v="549"/>
    <x v="398"/>
  </r>
  <r>
    <s v="P00922"/>
    <x v="1"/>
    <x v="1"/>
    <x v="1"/>
    <x v="1"/>
    <x v="1"/>
    <x v="0"/>
    <x v="6"/>
    <n v="64"/>
    <n v="6.5"/>
    <s v="Tensor G2"/>
    <x v="0"/>
    <s v="Black"/>
    <x v="1"/>
    <x v="1"/>
    <x v="1"/>
    <n v="599"/>
    <x v="149"/>
  </r>
  <r>
    <s v="P00923"/>
    <x v="6"/>
    <x v="9"/>
    <x v="1"/>
    <x v="1"/>
    <x v="3"/>
    <x v="1"/>
    <x v="16"/>
    <n v="108"/>
    <n v="6.4"/>
    <s v="Snapdragon 680"/>
    <x v="0"/>
    <s v="Silver"/>
    <x v="0"/>
    <x v="0"/>
    <x v="1"/>
    <n v="299"/>
    <x v="22"/>
  </r>
  <r>
    <s v="P00924"/>
    <x v="0"/>
    <x v="0"/>
    <x v="0"/>
    <x v="0"/>
    <x v="0"/>
    <x v="2"/>
    <x v="2"/>
    <n v="12"/>
    <n v="6.1"/>
    <s v="Dimensity 8100"/>
    <x v="1"/>
    <s v="Blue"/>
    <x v="0"/>
    <x v="7"/>
    <x v="1"/>
    <n v="599"/>
    <x v="1"/>
  </r>
  <r>
    <s v="P00925"/>
    <x v="5"/>
    <x v="5"/>
    <x v="2"/>
    <x v="2"/>
    <x v="1"/>
    <x v="0"/>
    <x v="6"/>
    <n v="12"/>
    <n v="6.1"/>
    <s v="Dimensity 1300"/>
    <x v="2"/>
    <s v="Silver"/>
    <x v="0"/>
    <x v="3"/>
    <x v="0"/>
    <n v="499"/>
    <x v="399"/>
  </r>
  <r>
    <s v="P00926"/>
    <x v="5"/>
    <x v="5"/>
    <x v="0"/>
    <x v="0"/>
    <x v="2"/>
    <x v="3"/>
    <x v="16"/>
    <n v="12"/>
    <n v="6.78"/>
    <s v="Dimensity 1300"/>
    <x v="0"/>
    <s v="Silver"/>
    <x v="1"/>
    <x v="2"/>
    <x v="1"/>
    <n v="499"/>
    <x v="310"/>
  </r>
  <r>
    <s v="P00927"/>
    <x v="5"/>
    <x v="5"/>
    <x v="1"/>
    <x v="1"/>
    <x v="3"/>
    <x v="3"/>
    <x v="6"/>
    <n v="48"/>
    <n v="6.7"/>
    <s v="Dimensity 1300"/>
    <x v="0"/>
    <s v="Purple"/>
    <x v="0"/>
    <x v="1"/>
    <x v="0"/>
    <n v="499"/>
    <x v="285"/>
  </r>
  <r>
    <s v="P00928"/>
    <x v="9"/>
    <x v="12"/>
    <x v="2"/>
    <x v="2"/>
    <x v="0"/>
    <x v="3"/>
    <x v="3"/>
    <n v="50"/>
    <n v="6.2"/>
    <s v="Snapdragon 8 Gen 1"/>
    <x v="1"/>
    <s v="Green"/>
    <x v="0"/>
    <x v="5"/>
    <x v="1"/>
    <n v="999"/>
    <x v="400"/>
  </r>
  <r>
    <s v="P00929"/>
    <x v="7"/>
    <x v="13"/>
    <x v="3"/>
    <x v="3"/>
    <x v="1"/>
    <x v="1"/>
    <x v="9"/>
    <n v="50"/>
    <n v="6.4"/>
    <s v="A14"/>
    <x v="3"/>
    <s v="Purple"/>
    <x v="1"/>
    <x v="1"/>
    <x v="1"/>
    <n v="699"/>
    <x v="401"/>
  </r>
  <r>
    <s v="P00930"/>
    <x v="4"/>
    <x v="4"/>
    <x v="1"/>
    <x v="1"/>
    <x v="3"/>
    <x v="2"/>
    <x v="16"/>
    <n v="50"/>
    <n v="6.5"/>
    <s v="Dimensity 7200"/>
    <x v="0"/>
    <s v="Blue"/>
    <x v="0"/>
    <x v="0"/>
    <x v="1"/>
    <n v="549"/>
    <x v="68"/>
  </r>
  <r>
    <s v="P00931"/>
    <x v="7"/>
    <x v="7"/>
    <x v="2"/>
    <x v="2"/>
    <x v="0"/>
    <x v="3"/>
    <x v="22"/>
    <n v="50"/>
    <n v="6.1"/>
    <s v="A15"/>
    <x v="2"/>
    <s v="Green"/>
    <x v="1"/>
    <x v="3"/>
    <x v="0"/>
    <n v="799"/>
    <x v="98"/>
  </r>
  <r>
    <s v="P00932"/>
    <x v="7"/>
    <x v="7"/>
    <x v="4"/>
    <x v="4"/>
    <x v="3"/>
    <x v="3"/>
    <x v="13"/>
    <n v="108"/>
    <n v="6.67"/>
    <s v="A15"/>
    <x v="3"/>
    <s v="Purple"/>
    <x v="0"/>
    <x v="2"/>
    <x v="1"/>
    <n v="799"/>
    <x v="402"/>
  </r>
  <r>
    <s v="P00933"/>
    <x v="1"/>
    <x v="1"/>
    <x v="4"/>
    <x v="4"/>
    <x v="1"/>
    <x v="2"/>
    <x v="15"/>
    <n v="12"/>
    <n v="6.7"/>
    <s v="Tensor G2"/>
    <x v="3"/>
    <s v="White"/>
    <x v="0"/>
    <x v="5"/>
    <x v="0"/>
    <n v="599"/>
    <x v="403"/>
  </r>
  <r>
    <s v="P00934"/>
    <x v="4"/>
    <x v="4"/>
    <x v="0"/>
    <x v="0"/>
    <x v="1"/>
    <x v="2"/>
    <x v="21"/>
    <n v="64"/>
    <n v="6.1"/>
    <s v="Dimensity 7200"/>
    <x v="0"/>
    <s v="Silver"/>
    <x v="1"/>
    <x v="1"/>
    <x v="0"/>
    <n v="549"/>
    <x v="252"/>
  </r>
  <r>
    <s v="P00935"/>
    <x v="2"/>
    <x v="2"/>
    <x v="0"/>
    <x v="0"/>
    <x v="0"/>
    <x v="3"/>
    <x v="12"/>
    <n v="64"/>
    <n v="6.2"/>
    <s v="Dimensity 8020"/>
    <x v="0"/>
    <s v="Black"/>
    <x v="1"/>
    <x v="7"/>
    <x v="0"/>
    <n v="599"/>
    <x v="137"/>
  </r>
  <r>
    <s v="P00936"/>
    <x v="8"/>
    <x v="8"/>
    <x v="1"/>
    <x v="1"/>
    <x v="1"/>
    <x v="2"/>
    <x v="1"/>
    <n v="108"/>
    <n v="6.1"/>
    <s v="Kirin 9000"/>
    <x v="0"/>
    <s v="Purple"/>
    <x v="1"/>
    <x v="3"/>
    <x v="1"/>
    <n v="699"/>
    <x v="98"/>
  </r>
  <r>
    <s v="P00937"/>
    <x v="4"/>
    <x v="4"/>
    <x v="3"/>
    <x v="3"/>
    <x v="0"/>
    <x v="2"/>
    <x v="13"/>
    <n v="12"/>
    <n v="6.78"/>
    <s v="Dimensity 7200"/>
    <x v="3"/>
    <s v="Purple"/>
    <x v="1"/>
    <x v="0"/>
    <x v="1"/>
    <n v="549"/>
    <x v="256"/>
  </r>
  <r>
    <s v="P00938"/>
    <x v="5"/>
    <x v="5"/>
    <x v="1"/>
    <x v="1"/>
    <x v="0"/>
    <x v="1"/>
    <x v="6"/>
    <n v="50"/>
    <n v="6.2"/>
    <s v="Dimensity 1300"/>
    <x v="0"/>
    <s v="White"/>
    <x v="1"/>
    <x v="1"/>
    <x v="0"/>
    <n v="499"/>
    <x v="70"/>
  </r>
  <r>
    <s v="P00939"/>
    <x v="2"/>
    <x v="2"/>
    <x v="3"/>
    <x v="3"/>
    <x v="2"/>
    <x v="3"/>
    <x v="21"/>
    <n v="108"/>
    <n v="6.4"/>
    <s v="Dimensity 8020"/>
    <x v="0"/>
    <s v="White"/>
    <x v="0"/>
    <x v="1"/>
    <x v="1"/>
    <n v="599"/>
    <x v="101"/>
  </r>
  <r>
    <s v="P00940"/>
    <x v="7"/>
    <x v="7"/>
    <x v="0"/>
    <x v="0"/>
    <x v="1"/>
    <x v="1"/>
    <x v="4"/>
    <n v="108"/>
    <n v="6.7"/>
    <s v="A15"/>
    <x v="3"/>
    <s v="Silver"/>
    <x v="1"/>
    <x v="3"/>
    <x v="1"/>
    <n v="799"/>
    <x v="96"/>
  </r>
  <r>
    <s v="P00941"/>
    <x v="9"/>
    <x v="12"/>
    <x v="4"/>
    <x v="4"/>
    <x v="2"/>
    <x v="1"/>
    <x v="16"/>
    <n v="64"/>
    <n v="6.4"/>
    <s v="Snapdragon 8 Gen 1"/>
    <x v="3"/>
    <s v="White"/>
    <x v="1"/>
    <x v="4"/>
    <x v="1"/>
    <n v="999"/>
    <x v="404"/>
  </r>
  <r>
    <s v="P00942"/>
    <x v="2"/>
    <x v="2"/>
    <x v="3"/>
    <x v="3"/>
    <x v="1"/>
    <x v="2"/>
    <x v="1"/>
    <n v="50"/>
    <n v="6.1"/>
    <s v="Dimensity 8020"/>
    <x v="3"/>
    <s v="Blue"/>
    <x v="1"/>
    <x v="7"/>
    <x v="1"/>
    <n v="599"/>
    <x v="163"/>
  </r>
  <r>
    <s v="P00943"/>
    <x v="8"/>
    <x v="8"/>
    <x v="4"/>
    <x v="4"/>
    <x v="3"/>
    <x v="1"/>
    <x v="14"/>
    <n v="48"/>
    <n v="6.4"/>
    <s v="Kirin 9000"/>
    <x v="0"/>
    <s v="Black"/>
    <x v="0"/>
    <x v="5"/>
    <x v="1"/>
    <n v="699"/>
    <x v="291"/>
  </r>
  <r>
    <s v="P00944"/>
    <x v="7"/>
    <x v="11"/>
    <x v="1"/>
    <x v="1"/>
    <x v="2"/>
    <x v="2"/>
    <x v="18"/>
    <n v="108"/>
    <n v="6.7"/>
    <s v="A15"/>
    <x v="3"/>
    <s v="Purple"/>
    <x v="0"/>
    <x v="2"/>
    <x v="0"/>
    <n v="899"/>
    <x v="405"/>
  </r>
  <r>
    <s v="P00945"/>
    <x v="0"/>
    <x v="0"/>
    <x v="2"/>
    <x v="2"/>
    <x v="3"/>
    <x v="2"/>
    <x v="25"/>
    <n v="108"/>
    <n v="6.4"/>
    <s v="Dimensity 8100"/>
    <x v="0"/>
    <s v="White"/>
    <x v="0"/>
    <x v="1"/>
    <x v="0"/>
    <n v="599"/>
    <x v="406"/>
  </r>
  <r>
    <s v="P00946"/>
    <x v="3"/>
    <x v="3"/>
    <x v="0"/>
    <x v="0"/>
    <x v="0"/>
    <x v="0"/>
    <x v="12"/>
    <n v="12"/>
    <n v="6.7"/>
    <s v="Snapdragon 8 Gen2"/>
    <x v="0"/>
    <s v="Green"/>
    <x v="1"/>
    <x v="7"/>
    <x v="0"/>
    <n v="799"/>
    <x v="243"/>
  </r>
  <r>
    <s v="P00947"/>
    <x v="3"/>
    <x v="3"/>
    <x v="4"/>
    <x v="4"/>
    <x v="1"/>
    <x v="1"/>
    <x v="1"/>
    <n v="12"/>
    <n v="6.5"/>
    <s v="Snapdragon 8 Gen2"/>
    <x v="0"/>
    <s v="Green"/>
    <x v="0"/>
    <x v="1"/>
    <x v="0"/>
    <n v="799"/>
    <x v="407"/>
  </r>
  <r>
    <s v="P00948"/>
    <x v="4"/>
    <x v="4"/>
    <x v="1"/>
    <x v="1"/>
    <x v="2"/>
    <x v="2"/>
    <x v="22"/>
    <n v="108"/>
    <n v="6.7"/>
    <s v="Dimensity 7200"/>
    <x v="3"/>
    <s v="Silver"/>
    <x v="0"/>
    <x v="0"/>
    <x v="0"/>
    <n v="549"/>
    <x v="95"/>
  </r>
  <r>
    <s v="P00949"/>
    <x v="4"/>
    <x v="4"/>
    <x v="2"/>
    <x v="2"/>
    <x v="2"/>
    <x v="1"/>
    <x v="21"/>
    <n v="48"/>
    <n v="6.4"/>
    <s v="Dimensity 7200"/>
    <x v="3"/>
    <s v="Blue"/>
    <x v="1"/>
    <x v="0"/>
    <x v="0"/>
    <n v="549"/>
    <x v="9"/>
  </r>
  <r>
    <s v="P00950"/>
    <x v="4"/>
    <x v="4"/>
    <x v="3"/>
    <x v="3"/>
    <x v="3"/>
    <x v="3"/>
    <x v="13"/>
    <n v="108"/>
    <n v="6.5"/>
    <s v="Dimensity 7200"/>
    <x v="0"/>
    <s v="Purple"/>
    <x v="0"/>
    <x v="7"/>
    <x v="0"/>
    <n v="549"/>
    <x v="191"/>
  </r>
  <r>
    <s v="P00951"/>
    <x v="6"/>
    <x v="6"/>
    <x v="2"/>
    <x v="2"/>
    <x v="3"/>
    <x v="1"/>
    <x v="7"/>
    <n v="12"/>
    <n v="6.2"/>
    <s v="Snapdragon 778G"/>
    <x v="0"/>
    <s v="Green"/>
    <x v="0"/>
    <x v="0"/>
    <x v="0"/>
    <n v="399"/>
    <x v="11"/>
  </r>
  <r>
    <s v="P00952"/>
    <x v="1"/>
    <x v="1"/>
    <x v="1"/>
    <x v="1"/>
    <x v="0"/>
    <x v="2"/>
    <x v="20"/>
    <n v="64"/>
    <n v="6.1"/>
    <s v="Tensor G2"/>
    <x v="3"/>
    <s v="Purple"/>
    <x v="0"/>
    <x v="7"/>
    <x v="1"/>
    <n v="599"/>
    <x v="325"/>
  </r>
  <r>
    <s v="P00953"/>
    <x v="5"/>
    <x v="5"/>
    <x v="1"/>
    <x v="1"/>
    <x v="1"/>
    <x v="0"/>
    <x v="1"/>
    <n v="108"/>
    <n v="6.1"/>
    <s v="Dimensity 1300"/>
    <x v="2"/>
    <s v="Green"/>
    <x v="0"/>
    <x v="7"/>
    <x v="0"/>
    <n v="499"/>
    <x v="408"/>
  </r>
  <r>
    <s v="P00954"/>
    <x v="2"/>
    <x v="2"/>
    <x v="4"/>
    <x v="4"/>
    <x v="0"/>
    <x v="3"/>
    <x v="6"/>
    <n v="12"/>
    <n v="6.4"/>
    <s v="Dimensity 8020"/>
    <x v="1"/>
    <s v="Black"/>
    <x v="0"/>
    <x v="0"/>
    <x v="1"/>
    <n v="599"/>
    <x v="1"/>
  </r>
  <r>
    <s v="P00955"/>
    <x v="8"/>
    <x v="8"/>
    <x v="0"/>
    <x v="0"/>
    <x v="3"/>
    <x v="1"/>
    <x v="20"/>
    <n v="48"/>
    <n v="6.78"/>
    <s v="Kirin 9000"/>
    <x v="0"/>
    <s v="Black"/>
    <x v="1"/>
    <x v="4"/>
    <x v="1"/>
    <n v="699"/>
    <x v="227"/>
  </r>
  <r>
    <s v="P00956"/>
    <x v="8"/>
    <x v="8"/>
    <x v="4"/>
    <x v="4"/>
    <x v="3"/>
    <x v="2"/>
    <x v="0"/>
    <n v="108"/>
    <n v="6.1"/>
    <s v="Kirin 9000"/>
    <x v="3"/>
    <s v="White"/>
    <x v="1"/>
    <x v="0"/>
    <x v="1"/>
    <n v="699"/>
    <x v="378"/>
  </r>
  <r>
    <s v="P00957"/>
    <x v="2"/>
    <x v="2"/>
    <x v="2"/>
    <x v="2"/>
    <x v="2"/>
    <x v="3"/>
    <x v="23"/>
    <n v="64"/>
    <n v="6.1"/>
    <s v="Dimensity 8020"/>
    <x v="3"/>
    <s v="Blue"/>
    <x v="1"/>
    <x v="4"/>
    <x v="1"/>
    <n v="599"/>
    <x v="235"/>
  </r>
  <r>
    <s v="P00958"/>
    <x v="4"/>
    <x v="4"/>
    <x v="3"/>
    <x v="3"/>
    <x v="0"/>
    <x v="3"/>
    <x v="8"/>
    <n v="12"/>
    <n v="6.7"/>
    <s v="Dimensity 7200"/>
    <x v="0"/>
    <s v="Green"/>
    <x v="0"/>
    <x v="5"/>
    <x v="0"/>
    <n v="549"/>
    <x v="259"/>
  </r>
  <r>
    <s v="P00959"/>
    <x v="0"/>
    <x v="0"/>
    <x v="2"/>
    <x v="2"/>
    <x v="2"/>
    <x v="0"/>
    <x v="11"/>
    <n v="50"/>
    <n v="6.7"/>
    <s v="Dimensity 8100"/>
    <x v="0"/>
    <s v="White"/>
    <x v="0"/>
    <x v="7"/>
    <x v="1"/>
    <n v="599"/>
    <x v="203"/>
  </r>
  <r>
    <s v="P00960"/>
    <x v="1"/>
    <x v="1"/>
    <x v="4"/>
    <x v="4"/>
    <x v="1"/>
    <x v="1"/>
    <x v="3"/>
    <n v="50"/>
    <n v="6.7"/>
    <s v="Tensor G2"/>
    <x v="0"/>
    <s v="Blue"/>
    <x v="1"/>
    <x v="2"/>
    <x v="1"/>
    <n v="599"/>
    <x v="16"/>
  </r>
  <r>
    <s v="P00961"/>
    <x v="8"/>
    <x v="8"/>
    <x v="0"/>
    <x v="0"/>
    <x v="2"/>
    <x v="3"/>
    <x v="3"/>
    <n v="12"/>
    <n v="6.7"/>
    <s v="Kirin 9000"/>
    <x v="3"/>
    <s v="Black"/>
    <x v="0"/>
    <x v="4"/>
    <x v="0"/>
    <n v="699"/>
    <x v="161"/>
  </r>
  <r>
    <s v="P00962"/>
    <x v="3"/>
    <x v="3"/>
    <x v="3"/>
    <x v="3"/>
    <x v="2"/>
    <x v="0"/>
    <x v="16"/>
    <n v="12"/>
    <n v="6.7"/>
    <s v="Snapdragon 8 Gen2"/>
    <x v="1"/>
    <s v="Green"/>
    <x v="1"/>
    <x v="0"/>
    <x v="0"/>
    <n v="799"/>
    <x v="280"/>
  </r>
  <r>
    <s v="P00963"/>
    <x v="5"/>
    <x v="5"/>
    <x v="3"/>
    <x v="3"/>
    <x v="3"/>
    <x v="1"/>
    <x v="15"/>
    <n v="12"/>
    <n v="6.78"/>
    <s v="Dimensity 1300"/>
    <x v="0"/>
    <s v="Black"/>
    <x v="0"/>
    <x v="6"/>
    <x v="0"/>
    <n v="499"/>
    <x v="92"/>
  </r>
  <r>
    <s v="P00964"/>
    <x v="8"/>
    <x v="8"/>
    <x v="0"/>
    <x v="0"/>
    <x v="0"/>
    <x v="1"/>
    <x v="10"/>
    <n v="48"/>
    <n v="6.7"/>
    <s v="Kirin 9000"/>
    <x v="0"/>
    <s v="White"/>
    <x v="1"/>
    <x v="3"/>
    <x v="1"/>
    <n v="699"/>
    <x v="55"/>
  </r>
  <r>
    <s v="P00965"/>
    <x v="8"/>
    <x v="8"/>
    <x v="2"/>
    <x v="2"/>
    <x v="1"/>
    <x v="0"/>
    <x v="25"/>
    <n v="64"/>
    <n v="6.67"/>
    <s v="Kirin 9000"/>
    <x v="0"/>
    <s v="Silver"/>
    <x v="0"/>
    <x v="3"/>
    <x v="0"/>
    <n v="699"/>
    <x v="352"/>
  </r>
  <r>
    <s v="P00966"/>
    <x v="5"/>
    <x v="5"/>
    <x v="4"/>
    <x v="4"/>
    <x v="2"/>
    <x v="0"/>
    <x v="9"/>
    <n v="108"/>
    <n v="6.2"/>
    <s v="Dimensity 1300"/>
    <x v="3"/>
    <s v="Purple"/>
    <x v="1"/>
    <x v="3"/>
    <x v="0"/>
    <n v="499"/>
    <x v="409"/>
  </r>
  <r>
    <s v="P00967"/>
    <x v="3"/>
    <x v="3"/>
    <x v="4"/>
    <x v="4"/>
    <x v="2"/>
    <x v="1"/>
    <x v="10"/>
    <n v="108"/>
    <n v="6.7"/>
    <s v="Snapdragon 8 Gen2"/>
    <x v="0"/>
    <s v="Purple"/>
    <x v="0"/>
    <x v="3"/>
    <x v="0"/>
    <n v="799"/>
    <x v="410"/>
  </r>
  <r>
    <s v="P00968"/>
    <x v="8"/>
    <x v="8"/>
    <x v="2"/>
    <x v="2"/>
    <x v="2"/>
    <x v="2"/>
    <x v="11"/>
    <n v="48"/>
    <n v="6.7"/>
    <s v="Kirin 9000"/>
    <x v="3"/>
    <s v="Blue"/>
    <x v="1"/>
    <x v="6"/>
    <x v="1"/>
    <n v="699"/>
    <x v="315"/>
  </r>
  <r>
    <s v="P00969"/>
    <x v="1"/>
    <x v="1"/>
    <x v="1"/>
    <x v="1"/>
    <x v="1"/>
    <x v="2"/>
    <x v="11"/>
    <n v="64"/>
    <n v="6.4"/>
    <s v="Tensor G2"/>
    <x v="3"/>
    <s v="Purple"/>
    <x v="0"/>
    <x v="3"/>
    <x v="1"/>
    <n v="599"/>
    <x v="159"/>
  </r>
  <r>
    <s v="P00970"/>
    <x v="3"/>
    <x v="3"/>
    <x v="0"/>
    <x v="0"/>
    <x v="0"/>
    <x v="0"/>
    <x v="2"/>
    <n v="48"/>
    <n v="6.1"/>
    <s v="Snapdragon 8 Gen2"/>
    <x v="3"/>
    <s v="Silver"/>
    <x v="1"/>
    <x v="2"/>
    <x v="1"/>
    <n v="799"/>
    <x v="411"/>
  </r>
  <r>
    <s v="P00971"/>
    <x v="5"/>
    <x v="5"/>
    <x v="4"/>
    <x v="4"/>
    <x v="1"/>
    <x v="3"/>
    <x v="0"/>
    <n v="64"/>
    <n v="6.78"/>
    <s v="Dimensity 1300"/>
    <x v="0"/>
    <s v="Black"/>
    <x v="0"/>
    <x v="2"/>
    <x v="0"/>
    <n v="499"/>
    <x v="93"/>
  </r>
  <r>
    <s v="P00972"/>
    <x v="7"/>
    <x v="13"/>
    <x v="2"/>
    <x v="2"/>
    <x v="1"/>
    <x v="2"/>
    <x v="6"/>
    <n v="12"/>
    <n v="6.7"/>
    <s v="A14"/>
    <x v="0"/>
    <s v="Black"/>
    <x v="0"/>
    <x v="4"/>
    <x v="1"/>
    <n v="699"/>
    <x v="352"/>
  </r>
  <r>
    <s v="P00973"/>
    <x v="3"/>
    <x v="3"/>
    <x v="3"/>
    <x v="3"/>
    <x v="1"/>
    <x v="0"/>
    <x v="13"/>
    <n v="64"/>
    <n v="6.67"/>
    <s v="Snapdragon 8 Gen2"/>
    <x v="2"/>
    <s v="Silver"/>
    <x v="0"/>
    <x v="7"/>
    <x v="0"/>
    <n v="799"/>
    <x v="185"/>
  </r>
  <r>
    <s v="P00974"/>
    <x v="2"/>
    <x v="2"/>
    <x v="4"/>
    <x v="4"/>
    <x v="3"/>
    <x v="1"/>
    <x v="19"/>
    <n v="50"/>
    <n v="6.1"/>
    <s v="Dimensity 8020"/>
    <x v="0"/>
    <s v="White"/>
    <x v="1"/>
    <x v="2"/>
    <x v="0"/>
    <n v="599"/>
    <x v="142"/>
  </r>
  <r>
    <s v="P00975"/>
    <x v="5"/>
    <x v="5"/>
    <x v="0"/>
    <x v="0"/>
    <x v="0"/>
    <x v="1"/>
    <x v="23"/>
    <n v="108"/>
    <n v="6.2"/>
    <s v="Dimensity 1300"/>
    <x v="3"/>
    <s v="Silver"/>
    <x v="0"/>
    <x v="5"/>
    <x v="0"/>
    <n v="499"/>
    <x v="16"/>
  </r>
  <r>
    <s v="P00976"/>
    <x v="3"/>
    <x v="3"/>
    <x v="3"/>
    <x v="3"/>
    <x v="2"/>
    <x v="2"/>
    <x v="21"/>
    <n v="108"/>
    <n v="6.4"/>
    <s v="Snapdragon 8 Gen2"/>
    <x v="0"/>
    <s v="Blue"/>
    <x v="0"/>
    <x v="5"/>
    <x v="1"/>
    <n v="799"/>
    <x v="169"/>
  </r>
  <r>
    <s v="P00977"/>
    <x v="5"/>
    <x v="5"/>
    <x v="0"/>
    <x v="0"/>
    <x v="1"/>
    <x v="2"/>
    <x v="19"/>
    <n v="12"/>
    <n v="6.4"/>
    <s v="Dimensity 1300"/>
    <x v="3"/>
    <s v="Silver"/>
    <x v="0"/>
    <x v="6"/>
    <x v="0"/>
    <n v="499"/>
    <x v="210"/>
  </r>
  <r>
    <s v="P00978"/>
    <x v="5"/>
    <x v="5"/>
    <x v="0"/>
    <x v="0"/>
    <x v="3"/>
    <x v="2"/>
    <x v="13"/>
    <n v="12"/>
    <n v="6.78"/>
    <s v="Dimensity 1300"/>
    <x v="3"/>
    <s v="Blue"/>
    <x v="0"/>
    <x v="2"/>
    <x v="1"/>
    <n v="499"/>
    <x v="101"/>
  </r>
  <r>
    <s v="P00979"/>
    <x v="5"/>
    <x v="5"/>
    <x v="4"/>
    <x v="4"/>
    <x v="1"/>
    <x v="3"/>
    <x v="5"/>
    <n v="64"/>
    <n v="6.4"/>
    <s v="Dimensity 1300"/>
    <x v="1"/>
    <s v="Black"/>
    <x v="0"/>
    <x v="4"/>
    <x v="0"/>
    <n v="499"/>
    <x v="16"/>
  </r>
  <r>
    <s v="P00980"/>
    <x v="0"/>
    <x v="0"/>
    <x v="0"/>
    <x v="0"/>
    <x v="3"/>
    <x v="2"/>
    <x v="15"/>
    <n v="50"/>
    <n v="6.4"/>
    <s v="Dimensity 8100"/>
    <x v="1"/>
    <s v="White"/>
    <x v="1"/>
    <x v="6"/>
    <x v="0"/>
    <n v="599"/>
    <x v="46"/>
  </r>
  <r>
    <s v="P00981"/>
    <x v="5"/>
    <x v="5"/>
    <x v="3"/>
    <x v="3"/>
    <x v="0"/>
    <x v="0"/>
    <x v="15"/>
    <n v="108"/>
    <n v="6.5"/>
    <s v="Dimensity 1300"/>
    <x v="2"/>
    <s v="Black"/>
    <x v="0"/>
    <x v="3"/>
    <x v="1"/>
    <n v="499"/>
    <x v="299"/>
  </r>
  <r>
    <s v="P00982"/>
    <x v="2"/>
    <x v="2"/>
    <x v="0"/>
    <x v="0"/>
    <x v="2"/>
    <x v="1"/>
    <x v="2"/>
    <n v="108"/>
    <n v="6.4"/>
    <s v="Dimensity 8020"/>
    <x v="2"/>
    <s v="Purple"/>
    <x v="1"/>
    <x v="2"/>
    <x v="0"/>
    <n v="599"/>
    <x v="406"/>
  </r>
  <r>
    <s v="P00983"/>
    <x v="8"/>
    <x v="8"/>
    <x v="1"/>
    <x v="1"/>
    <x v="3"/>
    <x v="0"/>
    <x v="8"/>
    <n v="50"/>
    <n v="6.2"/>
    <s v="Kirin 9000"/>
    <x v="3"/>
    <s v="Blue"/>
    <x v="0"/>
    <x v="7"/>
    <x v="1"/>
    <n v="699"/>
    <x v="227"/>
  </r>
  <r>
    <s v="P00984"/>
    <x v="2"/>
    <x v="2"/>
    <x v="2"/>
    <x v="2"/>
    <x v="0"/>
    <x v="2"/>
    <x v="17"/>
    <n v="50"/>
    <n v="6.4"/>
    <s v="Dimensity 8020"/>
    <x v="0"/>
    <s v="Purple"/>
    <x v="0"/>
    <x v="5"/>
    <x v="0"/>
    <n v="599"/>
    <x v="93"/>
  </r>
  <r>
    <s v="P00985"/>
    <x v="7"/>
    <x v="11"/>
    <x v="3"/>
    <x v="3"/>
    <x v="2"/>
    <x v="3"/>
    <x v="9"/>
    <n v="64"/>
    <n v="6.4"/>
    <s v="A15"/>
    <x v="0"/>
    <s v="Blue"/>
    <x v="1"/>
    <x v="7"/>
    <x v="1"/>
    <n v="899"/>
    <x v="412"/>
  </r>
  <r>
    <s v="P00986"/>
    <x v="8"/>
    <x v="8"/>
    <x v="2"/>
    <x v="2"/>
    <x v="3"/>
    <x v="0"/>
    <x v="24"/>
    <n v="48"/>
    <n v="6.2"/>
    <s v="Kirin 9000"/>
    <x v="3"/>
    <s v="Silver"/>
    <x v="1"/>
    <x v="4"/>
    <x v="0"/>
    <n v="699"/>
    <x v="231"/>
  </r>
  <r>
    <s v="P00987"/>
    <x v="6"/>
    <x v="6"/>
    <x v="2"/>
    <x v="2"/>
    <x v="1"/>
    <x v="3"/>
    <x v="17"/>
    <n v="64"/>
    <n v="6.67"/>
    <s v="Snapdragon 778G"/>
    <x v="0"/>
    <s v="Black"/>
    <x v="1"/>
    <x v="1"/>
    <x v="1"/>
    <n v="399"/>
    <x v="219"/>
  </r>
  <r>
    <s v="P00988"/>
    <x v="8"/>
    <x v="8"/>
    <x v="4"/>
    <x v="4"/>
    <x v="2"/>
    <x v="1"/>
    <x v="6"/>
    <n v="50"/>
    <n v="6.67"/>
    <s v="Kirin 9000"/>
    <x v="2"/>
    <s v="Green"/>
    <x v="0"/>
    <x v="4"/>
    <x v="1"/>
    <n v="699"/>
    <x v="0"/>
  </r>
  <r>
    <s v="P00989"/>
    <x v="2"/>
    <x v="2"/>
    <x v="3"/>
    <x v="3"/>
    <x v="2"/>
    <x v="2"/>
    <x v="3"/>
    <n v="108"/>
    <n v="6.5"/>
    <s v="Dimensity 8020"/>
    <x v="3"/>
    <s v="Purple"/>
    <x v="1"/>
    <x v="2"/>
    <x v="0"/>
    <n v="599"/>
    <x v="48"/>
  </r>
  <r>
    <s v="P00990"/>
    <x v="2"/>
    <x v="2"/>
    <x v="3"/>
    <x v="3"/>
    <x v="1"/>
    <x v="0"/>
    <x v="0"/>
    <n v="12"/>
    <n v="6.1"/>
    <s v="Dimensity 8020"/>
    <x v="0"/>
    <s v="Purple"/>
    <x v="0"/>
    <x v="0"/>
    <x v="0"/>
    <n v="599"/>
    <x v="332"/>
  </r>
  <r>
    <s v="P00991"/>
    <x v="2"/>
    <x v="2"/>
    <x v="0"/>
    <x v="0"/>
    <x v="2"/>
    <x v="2"/>
    <x v="4"/>
    <n v="48"/>
    <n v="6.4"/>
    <s v="Dimensity 8020"/>
    <x v="0"/>
    <s v="Green"/>
    <x v="0"/>
    <x v="3"/>
    <x v="1"/>
    <n v="599"/>
    <x v="155"/>
  </r>
  <r>
    <s v="P00992"/>
    <x v="1"/>
    <x v="1"/>
    <x v="1"/>
    <x v="1"/>
    <x v="2"/>
    <x v="0"/>
    <x v="1"/>
    <n v="108"/>
    <n v="6.1"/>
    <s v="Tensor G2"/>
    <x v="0"/>
    <s v="Purple"/>
    <x v="0"/>
    <x v="1"/>
    <x v="1"/>
    <n v="599"/>
    <x v="3"/>
  </r>
  <r>
    <s v="P00993"/>
    <x v="5"/>
    <x v="5"/>
    <x v="2"/>
    <x v="2"/>
    <x v="0"/>
    <x v="1"/>
    <x v="3"/>
    <n v="64"/>
    <n v="6.7"/>
    <s v="Dimensity 1300"/>
    <x v="3"/>
    <s v="Purple"/>
    <x v="1"/>
    <x v="2"/>
    <x v="1"/>
    <n v="499"/>
    <x v="16"/>
  </r>
  <r>
    <s v="P00994"/>
    <x v="2"/>
    <x v="2"/>
    <x v="0"/>
    <x v="0"/>
    <x v="1"/>
    <x v="1"/>
    <x v="16"/>
    <n v="108"/>
    <n v="6.78"/>
    <s v="Dimensity 8020"/>
    <x v="3"/>
    <s v="Silver"/>
    <x v="0"/>
    <x v="5"/>
    <x v="1"/>
    <n v="599"/>
    <x v="1"/>
  </r>
  <r>
    <s v="P00995"/>
    <x v="0"/>
    <x v="0"/>
    <x v="3"/>
    <x v="3"/>
    <x v="1"/>
    <x v="1"/>
    <x v="25"/>
    <n v="48"/>
    <n v="6.78"/>
    <s v="Dimensity 8100"/>
    <x v="3"/>
    <s v="Black"/>
    <x v="1"/>
    <x v="4"/>
    <x v="1"/>
    <n v="599"/>
    <x v="373"/>
  </r>
  <r>
    <s v="P00996"/>
    <x v="4"/>
    <x v="4"/>
    <x v="2"/>
    <x v="2"/>
    <x v="3"/>
    <x v="1"/>
    <x v="8"/>
    <n v="50"/>
    <n v="6.2"/>
    <s v="Dimensity 7200"/>
    <x v="1"/>
    <s v="Blue"/>
    <x v="1"/>
    <x v="3"/>
    <x v="0"/>
    <n v="549"/>
    <x v="9"/>
  </r>
  <r>
    <s v="P00997"/>
    <x v="1"/>
    <x v="1"/>
    <x v="1"/>
    <x v="1"/>
    <x v="0"/>
    <x v="0"/>
    <x v="20"/>
    <n v="50"/>
    <n v="6.7"/>
    <s v="Tensor G2"/>
    <x v="1"/>
    <s v="White"/>
    <x v="0"/>
    <x v="3"/>
    <x v="1"/>
    <n v="599"/>
    <x v="234"/>
  </r>
  <r>
    <s v="P00998"/>
    <x v="3"/>
    <x v="3"/>
    <x v="0"/>
    <x v="0"/>
    <x v="0"/>
    <x v="2"/>
    <x v="2"/>
    <n v="50"/>
    <n v="6.5"/>
    <s v="Snapdragon 8 Gen2"/>
    <x v="0"/>
    <s v="Black"/>
    <x v="0"/>
    <x v="4"/>
    <x v="1"/>
    <n v="799"/>
    <x v="413"/>
  </r>
  <r>
    <s v="P00999"/>
    <x v="5"/>
    <x v="5"/>
    <x v="4"/>
    <x v="4"/>
    <x v="3"/>
    <x v="3"/>
    <x v="17"/>
    <n v="48"/>
    <n v="6.2"/>
    <s v="Dimensity 1300"/>
    <x v="3"/>
    <s v="Green"/>
    <x v="1"/>
    <x v="4"/>
    <x v="1"/>
    <n v="499"/>
    <x v="37"/>
  </r>
  <r>
    <s v="P01000"/>
    <x v="3"/>
    <x v="3"/>
    <x v="0"/>
    <x v="0"/>
    <x v="2"/>
    <x v="2"/>
    <x v="23"/>
    <n v="108"/>
    <n v="6.5"/>
    <s v="Snapdragon 8 Gen2"/>
    <x v="3"/>
    <s v="Green"/>
    <x v="1"/>
    <x v="2"/>
    <x v="1"/>
    <n v="799"/>
    <x v="3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7873AA-FC14-442C-BBCF-23B9AAC86C8E}" name="PivotTable8"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2:D44" firstHeaderRow="1" firstDataRow="2" firstDataCol="1"/>
  <pivotFields count="18">
    <pivotField showAll="0"/>
    <pivotField axis="axisRow" showAll="0">
      <items count="11">
        <item x="7"/>
        <item x="1"/>
        <item x="8"/>
        <item x="2"/>
        <item x="3"/>
        <item x="5"/>
        <item x="0"/>
        <item x="9"/>
        <item x="4"/>
        <item x="6"/>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items count="3">
        <item x="0"/>
        <item x="1"/>
        <item t="default"/>
      </items>
    </pivotField>
    <pivotField showAll="0"/>
    <pivotField dataField="1" showAll="0"/>
  </pivotFields>
  <rowFields count="1">
    <field x="1"/>
  </rowFields>
  <rowItems count="11">
    <i>
      <x/>
    </i>
    <i>
      <x v="1"/>
    </i>
    <i>
      <x v="2"/>
    </i>
    <i>
      <x v="3"/>
    </i>
    <i>
      <x v="4"/>
    </i>
    <i>
      <x v="5"/>
    </i>
    <i>
      <x v="6"/>
    </i>
    <i>
      <x v="7"/>
    </i>
    <i>
      <x v="8"/>
    </i>
    <i>
      <x v="9"/>
    </i>
    <i t="grand">
      <x/>
    </i>
  </rowItems>
  <colFields count="1">
    <field x="13"/>
  </colFields>
  <colItems count="3">
    <i>
      <x/>
    </i>
    <i>
      <x v="1"/>
    </i>
    <i t="grand">
      <x/>
    </i>
  </colItems>
  <dataFields count="1">
    <dataField name="Count of Selling_Price_USD" fld="17" subtotal="count" baseField="1"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E53462-EA71-487A-8D0C-0EAAA412A715}" name="PivotTable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rowHeaderCaption="Brand">
  <location ref="J13:K24" firstHeaderRow="1" firstDataRow="1" firstDataCol="1"/>
  <pivotFields count="18">
    <pivotField dataField="1" showAll="0"/>
    <pivotField axis="axisRow" showAll="0">
      <items count="11">
        <item x="7"/>
        <item x="1"/>
        <item x="8"/>
        <item x="2"/>
        <item x="3"/>
        <item x="5"/>
        <item x="0"/>
        <item x="9"/>
        <item x="4"/>
        <item x="6"/>
        <item t="default"/>
      </items>
    </pivotField>
    <pivotField showAll="0">
      <items count="15">
        <item x="3"/>
        <item x="2"/>
        <item x="10"/>
        <item x="12"/>
        <item x="0"/>
        <item x="13"/>
        <item x="7"/>
        <item x="11"/>
        <item x="8"/>
        <item x="1"/>
        <item x="6"/>
        <item x="9"/>
        <item x="5"/>
        <item x="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Phone_ID" fld="0" subtotal="count" baseField="0" baseItem="0"/>
  </dataFields>
  <chartFormats count="23">
    <chartFormat chart="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 count="1" selected="0">
            <x v="0"/>
          </reference>
        </references>
      </pivotArea>
    </chartFormat>
    <chartFormat chart="16" format="2">
      <pivotArea type="data" outline="0" fieldPosition="0">
        <references count="2">
          <reference field="4294967294" count="1" selected="0">
            <x v="0"/>
          </reference>
          <reference field="1" count="1" selected="0">
            <x v="1"/>
          </reference>
        </references>
      </pivotArea>
    </chartFormat>
    <chartFormat chart="16" format="3">
      <pivotArea type="data" outline="0" fieldPosition="0">
        <references count="2">
          <reference field="4294967294" count="1" selected="0">
            <x v="0"/>
          </reference>
          <reference field="1" count="1" selected="0">
            <x v="2"/>
          </reference>
        </references>
      </pivotArea>
    </chartFormat>
    <chartFormat chart="16" format="4">
      <pivotArea type="data" outline="0" fieldPosition="0">
        <references count="2">
          <reference field="4294967294" count="1" selected="0">
            <x v="0"/>
          </reference>
          <reference field="1" count="1" selected="0">
            <x v="9"/>
          </reference>
        </references>
      </pivotArea>
    </chartFormat>
    <chartFormat chart="16" format="5">
      <pivotArea type="data" outline="0" fieldPosition="0">
        <references count="2">
          <reference field="4294967294" count="1" selected="0">
            <x v="0"/>
          </reference>
          <reference field="1" count="1" selected="0">
            <x v="8"/>
          </reference>
        </references>
      </pivotArea>
    </chartFormat>
    <chartFormat chart="16" format="6">
      <pivotArea type="data" outline="0" fieldPosition="0">
        <references count="2">
          <reference field="4294967294" count="1" selected="0">
            <x v="0"/>
          </reference>
          <reference field="1" count="1" selected="0">
            <x v="7"/>
          </reference>
        </references>
      </pivotArea>
    </chartFormat>
    <chartFormat chart="16" format="7">
      <pivotArea type="data" outline="0" fieldPosition="0">
        <references count="2">
          <reference field="4294967294" count="1" selected="0">
            <x v="0"/>
          </reference>
          <reference field="1" count="1" selected="0">
            <x v="6"/>
          </reference>
        </references>
      </pivotArea>
    </chartFormat>
    <chartFormat chart="16" format="8">
      <pivotArea type="data" outline="0" fieldPosition="0">
        <references count="2">
          <reference field="4294967294" count="1" selected="0">
            <x v="0"/>
          </reference>
          <reference field="1" count="1" selected="0">
            <x v="5"/>
          </reference>
        </references>
      </pivotArea>
    </chartFormat>
    <chartFormat chart="16" format="9">
      <pivotArea type="data" outline="0" fieldPosition="0">
        <references count="2">
          <reference field="4294967294" count="1" selected="0">
            <x v="0"/>
          </reference>
          <reference field="1" count="1" selected="0">
            <x v="4"/>
          </reference>
        </references>
      </pivotArea>
    </chartFormat>
    <chartFormat chart="16" format="10">
      <pivotArea type="data" outline="0" fieldPosition="0">
        <references count="2">
          <reference field="4294967294" count="1" selected="0">
            <x v="0"/>
          </reference>
          <reference field="1" count="1" selected="0">
            <x v="3"/>
          </reference>
        </references>
      </pivotArea>
    </chartFormat>
    <chartFormat chart="19" format="22" series="1">
      <pivotArea type="data" outline="0" fieldPosition="0">
        <references count="1">
          <reference field="4294967294" count="1" selected="0">
            <x v="0"/>
          </reference>
        </references>
      </pivotArea>
    </chartFormat>
    <chartFormat chart="19" format="23">
      <pivotArea type="data" outline="0" fieldPosition="0">
        <references count="2">
          <reference field="4294967294" count="1" selected="0">
            <x v="0"/>
          </reference>
          <reference field="1" count="1" selected="0">
            <x v="0"/>
          </reference>
        </references>
      </pivotArea>
    </chartFormat>
    <chartFormat chart="19" format="24">
      <pivotArea type="data" outline="0" fieldPosition="0">
        <references count="2">
          <reference field="4294967294" count="1" selected="0">
            <x v="0"/>
          </reference>
          <reference field="1" count="1" selected="0">
            <x v="1"/>
          </reference>
        </references>
      </pivotArea>
    </chartFormat>
    <chartFormat chart="19" format="25">
      <pivotArea type="data" outline="0" fieldPosition="0">
        <references count="2">
          <reference field="4294967294" count="1" selected="0">
            <x v="0"/>
          </reference>
          <reference field="1" count="1" selected="0">
            <x v="2"/>
          </reference>
        </references>
      </pivotArea>
    </chartFormat>
    <chartFormat chart="19" format="26">
      <pivotArea type="data" outline="0" fieldPosition="0">
        <references count="2">
          <reference field="4294967294" count="1" selected="0">
            <x v="0"/>
          </reference>
          <reference field="1" count="1" selected="0">
            <x v="3"/>
          </reference>
        </references>
      </pivotArea>
    </chartFormat>
    <chartFormat chart="19" format="27">
      <pivotArea type="data" outline="0" fieldPosition="0">
        <references count="2">
          <reference field="4294967294" count="1" selected="0">
            <x v="0"/>
          </reference>
          <reference field="1" count="1" selected="0">
            <x v="4"/>
          </reference>
        </references>
      </pivotArea>
    </chartFormat>
    <chartFormat chart="19" format="28">
      <pivotArea type="data" outline="0" fieldPosition="0">
        <references count="2">
          <reference field="4294967294" count="1" selected="0">
            <x v="0"/>
          </reference>
          <reference field="1" count="1" selected="0">
            <x v="5"/>
          </reference>
        </references>
      </pivotArea>
    </chartFormat>
    <chartFormat chart="19" format="29">
      <pivotArea type="data" outline="0" fieldPosition="0">
        <references count="2">
          <reference field="4294967294" count="1" selected="0">
            <x v="0"/>
          </reference>
          <reference field="1" count="1" selected="0">
            <x v="6"/>
          </reference>
        </references>
      </pivotArea>
    </chartFormat>
    <chartFormat chart="19" format="30">
      <pivotArea type="data" outline="0" fieldPosition="0">
        <references count="2">
          <reference field="4294967294" count="1" selected="0">
            <x v="0"/>
          </reference>
          <reference field="1" count="1" selected="0">
            <x v="7"/>
          </reference>
        </references>
      </pivotArea>
    </chartFormat>
    <chartFormat chart="19" format="31">
      <pivotArea type="data" outline="0" fieldPosition="0">
        <references count="2">
          <reference field="4294967294" count="1" selected="0">
            <x v="0"/>
          </reference>
          <reference field="1" count="1" selected="0">
            <x v="8"/>
          </reference>
        </references>
      </pivotArea>
    </chartFormat>
    <chartFormat chart="19" format="32">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013FB5-0EF2-4F65-A388-2F1B2E09F25B}" name="PivotTable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P3:Q14" firstHeaderRow="1" firstDataRow="1" firstDataCol="1"/>
  <pivotFields count="18">
    <pivotField showAll="0"/>
    <pivotField axis="axisRow" showAll="0">
      <items count="11">
        <item x="7"/>
        <item x="1"/>
        <item x="8"/>
        <item x="2"/>
        <item x="3"/>
        <item x="5"/>
        <item x="0"/>
        <item x="9"/>
        <item x="4"/>
        <item x="6"/>
        <item t="default"/>
      </items>
    </pivotField>
    <pivotField showAll="0"/>
    <pivotField showAll="0"/>
    <pivotField showAll="0"/>
    <pivotField showAll="0"/>
    <pivotField showAll="0"/>
    <pivotField dataField="1" showAll="0">
      <items count="27">
        <item x="7"/>
        <item x="6"/>
        <item x="13"/>
        <item x="19"/>
        <item x="17"/>
        <item x="3"/>
        <item x="25"/>
        <item x="21"/>
        <item x="14"/>
        <item x="5"/>
        <item x="22"/>
        <item x="8"/>
        <item x="10"/>
        <item x="23"/>
        <item x="18"/>
        <item x="4"/>
        <item x="1"/>
        <item x="12"/>
        <item x="9"/>
        <item x="20"/>
        <item x="16"/>
        <item x="2"/>
        <item x="11"/>
        <item x="15"/>
        <item x="24"/>
        <item x="0"/>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Average of Battery_Health_Percent" fld="7" subtotal="average" baseField="1" baseItem="0" numFmtId="1"/>
  </dataFields>
  <formats count="2">
    <format dxfId="237">
      <pivotArea outline="0" collapsedLevelsAreSubtotals="1" fieldPosition="0"/>
    </format>
    <format dxfId="236">
      <pivotArea outline="0" fieldPosition="0">
        <references count="1">
          <reference field="4294967294" count="1">
            <x v="0"/>
          </reference>
        </references>
      </pivotArea>
    </format>
  </formats>
  <chartFormats count="1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1" count="1" selected="0">
            <x v="0"/>
          </reference>
        </references>
      </pivotArea>
    </chartFormat>
    <chartFormat chart="3" format="24">
      <pivotArea type="data" outline="0" fieldPosition="0">
        <references count="2">
          <reference field="4294967294" count="1" selected="0">
            <x v="0"/>
          </reference>
          <reference field="1" count="1" selected="0">
            <x v="1"/>
          </reference>
        </references>
      </pivotArea>
    </chartFormat>
    <chartFormat chart="3" format="25">
      <pivotArea type="data" outline="0" fieldPosition="0">
        <references count="2">
          <reference field="4294967294" count="1" selected="0">
            <x v="0"/>
          </reference>
          <reference field="1" count="1" selected="0">
            <x v="2"/>
          </reference>
        </references>
      </pivotArea>
    </chartFormat>
    <chartFormat chart="3" format="26">
      <pivotArea type="data" outline="0" fieldPosition="0">
        <references count="2">
          <reference field="4294967294" count="1" selected="0">
            <x v="0"/>
          </reference>
          <reference field="1" count="1" selected="0">
            <x v="3"/>
          </reference>
        </references>
      </pivotArea>
    </chartFormat>
    <chartFormat chart="3" format="27">
      <pivotArea type="data" outline="0" fieldPosition="0">
        <references count="2">
          <reference field="4294967294" count="1" selected="0">
            <x v="0"/>
          </reference>
          <reference field="1" count="1" selected="0">
            <x v="4"/>
          </reference>
        </references>
      </pivotArea>
    </chartFormat>
    <chartFormat chart="3" format="28">
      <pivotArea type="data" outline="0" fieldPosition="0">
        <references count="2">
          <reference field="4294967294" count="1" selected="0">
            <x v="0"/>
          </reference>
          <reference field="1" count="1" selected="0">
            <x v="5"/>
          </reference>
        </references>
      </pivotArea>
    </chartFormat>
    <chartFormat chart="3" format="29">
      <pivotArea type="data" outline="0" fieldPosition="0">
        <references count="2">
          <reference field="4294967294" count="1" selected="0">
            <x v="0"/>
          </reference>
          <reference field="1" count="1" selected="0">
            <x v="6"/>
          </reference>
        </references>
      </pivotArea>
    </chartFormat>
    <chartFormat chart="3" format="30">
      <pivotArea type="data" outline="0" fieldPosition="0">
        <references count="2">
          <reference field="4294967294" count="1" selected="0">
            <x v="0"/>
          </reference>
          <reference field="1" count="1" selected="0">
            <x v="7"/>
          </reference>
        </references>
      </pivotArea>
    </chartFormat>
    <chartFormat chart="3" format="31">
      <pivotArea type="data" outline="0" fieldPosition="0">
        <references count="2">
          <reference field="4294967294" count="1" selected="0">
            <x v="0"/>
          </reference>
          <reference field="1" count="1" selected="0">
            <x v="8"/>
          </reference>
        </references>
      </pivotArea>
    </chartFormat>
    <chartFormat chart="3" format="32">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37C7A6-DB0C-4605-A824-856C58049C73}"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7:B22"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dataField="1" showAll="0"/>
  </pivotFields>
  <rowFields count="1">
    <field x="11"/>
  </rowFields>
  <rowItems count="5">
    <i>
      <x/>
    </i>
    <i>
      <x v="1"/>
    </i>
    <i>
      <x v="2"/>
    </i>
    <i>
      <x v="3"/>
    </i>
    <i t="grand">
      <x/>
    </i>
  </rowItems>
  <colItems count="1">
    <i/>
  </colItems>
  <dataFields count="1">
    <dataField name="Average of Selling_Price_USD" fld="17" subtotal="average" baseField="11" baseItem="0" numFmtId="44"/>
  </dataFields>
  <formats count="4">
    <format dxfId="241">
      <pivotArea collapsedLevelsAreSubtotals="1" fieldPosition="0">
        <references count="1">
          <reference field="11" count="1">
            <x v="3"/>
          </reference>
        </references>
      </pivotArea>
    </format>
    <format dxfId="240">
      <pivotArea dataOnly="0" labelOnly="1" fieldPosition="0">
        <references count="1">
          <reference field="11" count="1">
            <x v="3"/>
          </reference>
        </references>
      </pivotArea>
    </format>
    <format dxfId="239">
      <pivotArea collapsedLevelsAreSubtotals="1" fieldPosition="0">
        <references count="1">
          <reference field="11" count="1">
            <x v="3"/>
          </reference>
        </references>
      </pivotArea>
    </format>
    <format dxfId="238">
      <pivotArea dataOnly="0" labelOnly="1" fieldPosition="0">
        <references count="1">
          <reference field="11" count="1">
            <x v="3"/>
          </reference>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EBE0A2-D4D9-4BD1-A72B-2E9D35267A38}"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J3:K9" firstHeaderRow="1" firstDataRow="1" firstDataCol="1"/>
  <pivotFields count="18">
    <pivotField showAll="0"/>
    <pivotField showAll="0"/>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6">
    <i>
      <x/>
    </i>
    <i>
      <x v="1"/>
    </i>
    <i>
      <x v="2"/>
    </i>
    <i>
      <x v="3"/>
    </i>
    <i>
      <x v="4"/>
    </i>
    <i t="grand">
      <x/>
    </i>
  </rowItems>
  <colItems count="1">
    <i/>
  </colItems>
  <dataFields count="1">
    <dataField name="Average of Selling_Price_USD" fld="17" subtotal="average" baseField="6" baseItem="0" numFmtId="44"/>
  </dataFields>
  <chartFormats count="5">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5F9184-3AB0-4C3F-99F4-F941B41C1E77}" name="PivotTable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50:G60" firstHeaderRow="1" firstDataRow="2" firstDataCol="1" rowPageCount="1" colPageCount="1"/>
  <pivotFields count="18">
    <pivotField showAll="0"/>
    <pivotField axis="axisPage" showAll="0">
      <items count="11">
        <item x="7"/>
        <item x="1"/>
        <item x="8"/>
        <item x="2"/>
        <item x="3"/>
        <item x="5"/>
        <item x="0"/>
        <item x="9"/>
        <item x="4"/>
        <item x="6"/>
        <item t="default"/>
      </items>
    </pivotField>
    <pivotField showAll="0"/>
    <pivotField showAll="0"/>
    <pivotField showAll="0"/>
    <pivotField showAll="0"/>
    <pivotField axis="axisCol" showAll="0">
      <items count="6">
        <item x="4"/>
        <item x="2"/>
        <item x="0"/>
        <item x="3"/>
        <item x="1"/>
        <item t="default"/>
      </items>
    </pivotField>
    <pivotField showAll="0"/>
    <pivotField showAll="0"/>
    <pivotField showAll="0"/>
    <pivotField showAll="0"/>
    <pivotField showAll="0"/>
    <pivotField showAll="0"/>
    <pivotField showAll="0"/>
    <pivotField axis="axisRow" showAll="0">
      <items count="9">
        <item x="5"/>
        <item x="7"/>
        <item x="0"/>
        <item x="6"/>
        <item x="2"/>
        <item x="3"/>
        <item x="1"/>
        <item x="4"/>
        <item t="default"/>
      </items>
    </pivotField>
    <pivotField showAll="0"/>
    <pivotField showAll="0"/>
    <pivotField dataField="1" showAll="0"/>
  </pivotFields>
  <rowFields count="1">
    <field x="14"/>
  </rowFields>
  <rowItems count="9">
    <i>
      <x/>
    </i>
    <i>
      <x v="1"/>
    </i>
    <i>
      <x v="2"/>
    </i>
    <i>
      <x v="3"/>
    </i>
    <i>
      <x v="4"/>
    </i>
    <i>
      <x v="5"/>
    </i>
    <i>
      <x v="6"/>
    </i>
    <i>
      <x v="7"/>
    </i>
    <i t="grand">
      <x/>
    </i>
  </rowItems>
  <colFields count="1">
    <field x="6"/>
  </colFields>
  <colItems count="6">
    <i>
      <x/>
    </i>
    <i>
      <x v="1"/>
    </i>
    <i>
      <x v="2"/>
    </i>
    <i>
      <x v="3"/>
    </i>
    <i>
      <x v="4"/>
    </i>
    <i t="grand">
      <x/>
    </i>
  </colItems>
  <pageFields count="1">
    <pageField fld="1" hier="-1"/>
  </pageFields>
  <dataFields count="1">
    <dataField name="Count of Selling_Price_USD" fld="17" subtotal="count" baseField="6" baseItem="0"/>
  </dataFields>
  <chartFormats count="5">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A27E76-1F70-47FB-A227-DB501B2FE43A}"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14" firstHeaderRow="1" firstDataRow="1" firstDataCol="1"/>
  <pivotFields count="18">
    <pivotField showAll="0"/>
    <pivotField axis="axisRow" showAll="0" sortType="descending">
      <items count="11">
        <item x="6"/>
        <item x="4"/>
        <item x="9"/>
        <item x="0"/>
        <item x="5"/>
        <item x="3"/>
        <item x="2"/>
        <item x="8"/>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i>
    <i>
      <x v="1"/>
    </i>
    <i>
      <x v="2"/>
    </i>
    <i>
      <x v="3"/>
    </i>
    <i>
      <x v="4"/>
    </i>
    <i>
      <x v="5"/>
    </i>
    <i>
      <x v="6"/>
    </i>
    <i>
      <x v="7"/>
    </i>
    <i>
      <x v="8"/>
    </i>
    <i>
      <x v="9"/>
    </i>
    <i t="grand">
      <x/>
    </i>
  </rowItems>
  <colItems count="1">
    <i/>
  </colItems>
  <dataFields count="1">
    <dataField name="Average of Selling_Price_USD" fld="17" subtotal="average" baseField="1" baseItem="2" numFmtId="44"/>
  </dataFields>
  <formats count="4">
    <format dxfId="245">
      <pivotArea collapsedLevelsAreSubtotals="1" fieldPosition="0">
        <references count="1">
          <reference field="1" count="1">
            <x v="5"/>
          </reference>
        </references>
      </pivotArea>
    </format>
    <format dxfId="244">
      <pivotArea dataOnly="0" labelOnly="1" fieldPosition="0">
        <references count="1">
          <reference field="1" count="1">
            <x v="5"/>
          </reference>
        </references>
      </pivotArea>
    </format>
    <format dxfId="243">
      <pivotArea collapsedLevelsAreSubtotals="1" fieldPosition="0">
        <references count="1">
          <reference field="1" count="1">
            <x v="5"/>
          </reference>
        </references>
      </pivotArea>
    </format>
    <format dxfId="242">
      <pivotArea dataOnly="0" labelOnly="1" fieldPosition="0">
        <references count="1">
          <reference field="1" count="1">
            <x v="5"/>
          </reference>
        </references>
      </pivotArea>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779964-9393-45E8-A05D-8F9E66949E47}" name="PivotTable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7:A18" firstHeaderRow="1" firstDataRow="1" firstDataCol="0"/>
  <pivotFields count="18">
    <pivotField showAll="0"/>
    <pivotField showAll="0">
      <items count="11">
        <item x="7"/>
        <item x="1"/>
        <item x="8"/>
        <item x="2"/>
        <item x="3"/>
        <item x="5"/>
        <item x="0"/>
        <item x="9"/>
        <item x="4"/>
        <item x="6"/>
        <item t="default"/>
      </items>
    </pivotField>
    <pivotField showAll="0"/>
    <pivotField showAll="0"/>
    <pivotField dataField="1" showAll="0"/>
    <pivotField showAll="0"/>
    <pivotField showAll="0"/>
    <pivotField showAll="0"/>
    <pivotField showAll="0"/>
    <pivotField showAll="0"/>
    <pivotField showAll="0"/>
    <pivotField showAll="0">
      <items count="5">
        <item x="3"/>
        <item x="2"/>
        <item x="0"/>
        <item x="1"/>
        <item t="default"/>
      </items>
    </pivotField>
    <pivotField showAll="0"/>
    <pivotField showAll="0">
      <items count="3">
        <item x="1"/>
        <item x="0"/>
        <item t="default"/>
      </items>
    </pivotField>
    <pivotField showAll="0"/>
    <pivotField showAll="0">
      <items count="3">
        <item x="0"/>
        <item x="1"/>
        <item t="default"/>
      </items>
    </pivotField>
    <pivotField showAll="0"/>
    <pivotField showAll="0"/>
  </pivotFields>
  <rowItems count="1">
    <i/>
  </rowItems>
  <colItems count="1">
    <i/>
  </colItems>
  <dataFields count="1">
    <dataField name="Average of Age_Years" fld="4"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272A46-D99C-4F82-BCC5-BD4F27F3D27C}"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A14" firstHeaderRow="1" firstDataRow="1" firstDataCol="0"/>
  <pivotFields count="18">
    <pivotField showAll="0"/>
    <pivotField showAll="0">
      <items count="11">
        <item x="7"/>
        <item x="1"/>
        <item x="8"/>
        <item x="2"/>
        <item x="3"/>
        <item x="5"/>
        <item x="0"/>
        <item x="9"/>
        <item x="4"/>
        <item x="6"/>
        <item t="default"/>
      </items>
    </pivotField>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items count="3">
        <item x="1"/>
        <item x="0"/>
        <item t="default"/>
      </items>
    </pivotField>
    <pivotField showAll="0"/>
    <pivotField showAll="0">
      <items count="3">
        <item x="0"/>
        <item x="1"/>
        <item t="default"/>
      </items>
    </pivotField>
    <pivotField showAll="0"/>
    <pivotField dataField="1" showAll="0"/>
  </pivotFields>
  <rowItems count="1">
    <i/>
  </rowItems>
  <colItems count="1">
    <i/>
  </colItems>
  <dataFields count="1">
    <dataField name="Max of Selling_Price_USD" fld="17"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7FBAAF-A0A1-4E68-9FED-287849AFB5CF}"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A10" firstHeaderRow="1" firstDataRow="1" firstDataCol="0"/>
  <pivotFields count="18">
    <pivotField showAll="0"/>
    <pivotField showAll="0">
      <items count="11">
        <item x="7"/>
        <item x="1"/>
        <item x="8"/>
        <item x="2"/>
        <item x="3"/>
        <item x="5"/>
        <item x="0"/>
        <item x="9"/>
        <item x="4"/>
        <item x="6"/>
        <item t="default"/>
      </items>
    </pivotField>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items count="3">
        <item x="1"/>
        <item x="0"/>
        <item t="default"/>
      </items>
    </pivotField>
    <pivotField showAll="0"/>
    <pivotField showAll="0">
      <items count="3">
        <item x="0"/>
        <item x="1"/>
        <item t="default"/>
      </items>
    </pivotField>
    <pivotField showAll="0"/>
    <pivotField dataField="1" showAll="0"/>
  </pivotFields>
  <rowItems count="1">
    <i/>
  </rowItems>
  <colItems count="1">
    <i/>
  </colItems>
  <dataFields count="1">
    <dataField name="Average of Selling_Price_USD"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253159-6A4C-40BB-AD20-0EF07096AB61}"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A5" firstHeaderRow="1" firstDataRow="1" firstDataCol="0"/>
  <pivotFields count="18">
    <pivotField dataField="1" showAll="0"/>
    <pivotField showAll="0">
      <items count="11">
        <item x="7"/>
        <item x="1"/>
        <item x="8"/>
        <item x="2"/>
        <item x="3"/>
        <item x="5"/>
        <item x="0"/>
        <item x="9"/>
        <item x="4"/>
        <item x="6"/>
        <item t="default"/>
      </items>
    </pivotField>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items count="3">
        <item x="1"/>
        <item x="0"/>
        <item t="default"/>
      </items>
    </pivotField>
    <pivotField showAll="0"/>
    <pivotField showAll="0">
      <items count="3">
        <item x="0"/>
        <item x="1"/>
        <item t="default"/>
      </items>
    </pivotField>
    <pivotField showAll="0"/>
    <pivotField showAll="0"/>
  </pivotFields>
  <rowItems count="1">
    <i/>
  </rowItems>
  <colItems count="1">
    <i/>
  </colItems>
  <dataFields count="1">
    <dataField name="Count of Phon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8404E9B-A0D4-459B-853A-5F1A7C261802}" sourceName="Brand">
  <pivotTables>
    <pivotTable tabId="2" name="PivotTable1"/>
    <pivotTable tabId="9" name="PivotTable1"/>
    <pivotTable tabId="9" name="PivotTable2"/>
    <pivotTable tabId="9" name="PivotTable3"/>
    <pivotTable tabId="9" name="PivotTable4"/>
  </pivotTables>
  <data>
    <tabular pivotCacheId="1496909687">
      <items count="10">
        <i x="7" s="1"/>
        <i x="1" s="1"/>
        <i x="8" s="1"/>
        <i x="2" s="1"/>
        <i x="3" s="1"/>
        <i x="5" s="1"/>
        <i x="0" s="1"/>
        <i x="9"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1" xr10:uid="{2B0641F0-7765-47DE-BA21-9B6A450FAC4B}" sourceName="Condition">
  <pivotTables>
    <pivotTable tabId="2" name="PivotTable2"/>
    <pivotTable tabId="9" name="PivotTable1"/>
    <pivotTable tabId="9" name="PivotTable2"/>
    <pivotTable tabId="9" name="PivotTable3"/>
    <pivotTable tabId="9" name="PivotTable4"/>
  </pivotTables>
  <data>
    <tabular pivotCacheId="1496909687">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1" xr10:uid="{0CEB593C-C87B-4C33-9AF7-64C6D2B9D473}" sourceName="Seller_Type">
  <pivotTables>
    <pivotTable tabId="2" name="PivotTable8"/>
    <pivotTable tabId="9" name="PivotTable1"/>
    <pivotTable tabId="9" name="PivotTable2"/>
    <pivotTable tabId="9" name="PivotTable3"/>
    <pivotTable tabId="9" name="PivotTable4"/>
  </pivotTables>
  <data>
    <tabular pivotCacheId="149690968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ranty1" xr10:uid="{FBC2B326-9C9E-4552-AED1-F4B30EA050FF}" sourceName="Warranty">
  <pivotTables>
    <pivotTable tabId="2" name="PivotTable8"/>
    <pivotTable tabId="9" name="PivotTable1"/>
    <pivotTable tabId="9" name="PivotTable2"/>
    <pivotTable tabId="9" name="PivotTable3"/>
    <pivotTable tabId="9" name="PivotTable4"/>
  </pivotTables>
  <data>
    <tabular pivotCacheId="149690968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70AC33B1-3A12-44EC-B188-8CD3007B37B7}" cache="Slicer_Brand" caption="Brand" rowHeight="241300"/>
  <slicer name="Condition 1" xr10:uid="{216DCD40-659C-404D-8B60-55AE32B1D10A}" cache="Slicer_Condition1" caption="Condition" rowHeight="241300"/>
  <slicer name="Seller_Type 1" xr10:uid="{DD895084-F781-4C91-BB2C-401319358969}" cache="Slicer_Seller_Type1" caption="Seller_Type" rowHeight="241300"/>
  <slicer name="Warranty 1" xr10:uid="{A2450FB4-2D83-4FFB-9C18-26DA2D7716BA}" cache="Slicer_Warranty1" caption="Warran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391E1A-2B08-4532-AD71-0C328F6EC7B9}" name="Table2" displayName="Table2" ref="A1:R1001" totalsRowShown="0">
  <autoFilter ref="A1:R1001" xr:uid="{2398DC70-4F6A-40EE-8577-73C110C1016A}"/>
  <tableColumns count="18">
    <tableColumn id="1" xr3:uid="{8962400A-1F75-4BF3-AE23-0E65EA53EE54}" name="Phone_ID"/>
    <tableColumn id="2" xr3:uid="{47DC2A7A-B0A0-4DF2-A201-A0024CB43D28}" name="Brand"/>
    <tableColumn id="3" xr3:uid="{1F4FE393-75AE-4A58-933D-0A8A9B9E668B}" name="Model"/>
    <tableColumn id="4" xr3:uid="{881D9336-0D7F-4846-8B28-84D8363F9B13}" name="Release_Year" dataDxfId="247"/>
    <tableColumn id="5" xr3:uid="{93D1988E-B525-48F5-A35F-3E8D465789D4}" name="Age_Years" dataDxfId="246"/>
    <tableColumn id="6" xr3:uid="{9D995663-1214-47BC-9549-A7388B721BFF}" name="RAM_GB"/>
    <tableColumn id="7" xr3:uid="{16F9C7D2-E4FF-435F-B078-96D80B886029}" name="Storage_GB"/>
    <tableColumn id="8" xr3:uid="{AF32E2C6-9026-4A94-AFB6-9ACE4CC1E4BA}" name="Battery_Health_Percent"/>
    <tableColumn id="9" xr3:uid="{0871DB2A-C633-4BE8-BA40-C671E01D9580}" name="Camera_MP"/>
    <tableColumn id="10" xr3:uid="{B87BFCF8-DD5F-46E1-B698-AD04B8B12178}" name="Screen_Size_Inch"/>
    <tableColumn id="11" xr3:uid="{6696284F-CF63-4A14-B844-5AD5FD2AF422}" name="Processor"/>
    <tableColumn id="12" xr3:uid="{8EB1E16F-9A8B-4F63-8CC4-22B6D356418B}" name="Condition"/>
    <tableColumn id="13" xr3:uid="{2F70F852-9A41-4EF4-B45C-056C8DEF7E8B}" name="Color"/>
    <tableColumn id="14" xr3:uid="{903D7529-6460-4B96-BCA9-C3F113DE2736}" name="Seller_Type"/>
    <tableColumn id="15" xr3:uid="{F9B06642-43E0-475E-B07F-9BC49AEE46A4}" name="City"/>
    <tableColumn id="16" xr3:uid="{93A113D9-E66A-43EA-B9BD-1032545EEB83}" name="Warranty"/>
    <tableColumn id="17" xr3:uid="{275ED859-505B-48D8-83E1-219408CBCAAF}" name="Original_Price_USD"/>
    <tableColumn id="18" xr3:uid="{89A0FAF9-3AEE-4C52-B6F1-ADBADF50207E}" name="Selling_Price_US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rinterSettings" Target="../printerSettings/printerSettings3.bin"/><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1"/>
  <sheetViews>
    <sheetView topLeftCell="A2" zoomScale="115" zoomScaleNormal="115" workbookViewId="0">
      <selection activeCell="D11" sqref="A2:R1001"/>
    </sheetView>
  </sheetViews>
  <sheetFormatPr defaultRowHeight="15"/>
  <cols>
    <col min="1" max="1" width="11.7109375" customWidth="1"/>
    <col min="3" max="3" width="14.140625" bestFit="1" customWidth="1"/>
    <col min="4" max="4" width="15.140625" style="8" customWidth="1"/>
    <col min="5" max="5" width="12.42578125" style="29" customWidth="1"/>
    <col min="6" max="6" width="11" customWidth="1"/>
    <col min="7" max="7" width="13.42578125" customWidth="1"/>
    <col min="8" max="8" width="24.28515625" customWidth="1"/>
    <col min="9" max="9" width="13.85546875" customWidth="1"/>
    <col min="10" max="10" width="18.42578125" customWidth="1"/>
    <col min="11" max="11" width="18.5703125" bestFit="1" customWidth="1"/>
    <col min="12" max="12" width="11.85546875" customWidth="1"/>
    <col min="13" max="13" width="7.85546875" customWidth="1"/>
    <col min="14" max="14" width="13.5703125" customWidth="1"/>
    <col min="15" max="15" width="10.5703125" bestFit="1" customWidth="1"/>
    <col min="16" max="16" width="11.42578125" customWidth="1"/>
    <col min="17" max="17" width="20.28515625" customWidth="1"/>
    <col min="18" max="18" width="19.28515625" customWidth="1"/>
    <col min="20" max="20" width="46.5703125" bestFit="1" customWidth="1"/>
    <col min="21" max="21" width="12.28515625" bestFit="1" customWidth="1"/>
    <col min="22" max="22" width="4.42578125" customWidth="1"/>
    <col min="24" max="24" width="18.85546875" bestFit="1" customWidth="1"/>
  </cols>
  <sheetData>
    <row r="1" spans="1:24">
      <c r="A1" t="s">
        <v>0</v>
      </c>
      <c r="B1" t="s">
        <v>1</v>
      </c>
      <c r="C1" t="s">
        <v>2</v>
      </c>
      <c r="D1" s="8" t="s">
        <v>3</v>
      </c>
      <c r="E1" s="29" t="s">
        <v>4</v>
      </c>
      <c r="F1" t="s">
        <v>5</v>
      </c>
      <c r="G1" t="s">
        <v>6</v>
      </c>
      <c r="H1" t="s">
        <v>7</v>
      </c>
      <c r="I1" t="s">
        <v>8</v>
      </c>
      <c r="J1" t="s">
        <v>9</v>
      </c>
      <c r="K1" t="s">
        <v>10</v>
      </c>
      <c r="L1" t="s">
        <v>11</v>
      </c>
      <c r="M1" t="s">
        <v>12</v>
      </c>
      <c r="N1" t="s">
        <v>13</v>
      </c>
      <c r="O1" t="s">
        <v>14</v>
      </c>
      <c r="P1" t="s">
        <v>15</v>
      </c>
      <c r="Q1" t="s">
        <v>16</v>
      </c>
      <c r="R1" t="s">
        <v>17</v>
      </c>
      <c r="T1" s="7" t="s">
        <v>1107</v>
      </c>
    </row>
    <row r="2" spans="1:24">
      <c r="A2" t="s">
        <v>18</v>
      </c>
      <c r="B2" t="s">
        <v>19</v>
      </c>
      <c r="C2" t="s">
        <v>20</v>
      </c>
      <c r="D2" s="8">
        <v>2020</v>
      </c>
      <c r="E2" s="29">
        <v>6</v>
      </c>
      <c r="F2">
        <v>12</v>
      </c>
      <c r="G2">
        <v>128</v>
      </c>
      <c r="H2">
        <v>100</v>
      </c>
      <c r="I2">
        <v>108</v>
      </c>
      <c r="J2">
        <v>6.67</v>
      </c>
      <c r="K2" t="s">
        <v>21</v>
      </c>
      <c r="L2" t="s">
        <v>22</v>
      </c>
      <c r="M2" t="s">
        <v>23</v>
      </c>
      <c r="N2" t="s">
        <v>24</v>
      </c>
      <c r="O2" t="s">
        <v>25</v>
      </c>
      <c r="P2" t="s">
        <v>26</v>
      </c>
      <c r="Q2">
        <v>599</v>
      </c>
      <c r="R2">
        <v>428</v>
      </c>
      <c r="T2" s="2" t="s">
        <v>1082</v>
      </c>
      <c r="U2" s="2" t="s">
        <v>12</v>
      </c>
      <c r="W2" s="1" t="s">
        <v>1102</v>
      </c>
      <c r="X2" s="1" t="s">
        <v>1101</v>
      </c>
    </row>
    <row r="3" spans="1:24">
      <c r="A3" t="s">
        <v>27</v>
      </c>
      <c r="B3" t="s">
        <v>28</v>
      </c>
      <c r="C3" t="s">
        <v>29</v>
      </c>
      <c r="D3" s="8">
        <v>2020</v>
      </c>
      <c r="E3" s="29">
        <v>6</v>
      </c>
      <c r="F3">
        <v>4</v>
      </c>
      <c r="G3">
        <v>512</v>
      </c>
      <c r="H3">
        <v>91</v>
      </c>
      <c r="I3">
        <v>108</v>
      </c>
      <c r="J3">
        <v>6.67</v>
      </c>
      <c r="K3" t="s">
        <v>30</v>
      </c>
      <c r="L3" t="s">
        <v>31</v>
      </c>
      <c r="M3" t="s">
        <v>32</v>
      </c>
      <c r="N3" t="s">
        <v>33</v>
      </c>
      <c r="O3" t="s">
        <v>34</v>
      </c>
      <c r="P3" t="s">
        <v>35</v>
      </c>
      <c r="Q3">
        <v>599</v>
      </c>
      <c r="R3">
        <v>589</v>
      </c>
      <c r="T3" s="1" t="s">
        <v>1085</v>
      </c>
      <c r="U3" s="1" t="s">
        <v>60</v>
      </c>
      <c r="W3" s="16">
        <v>0</v>
      </c>
      <c r="X3" s="17" t="s">
        <v>1103</v>
      </c>
    </row>
    <row r="4" spans="1:24">
      <c r="A4" t="s">
        <v>36</v>
      </c>
      <c r="B4" t="s">
        <v>37</v>
      </c>
      <c r="C4" t="s">
        <v>38</v>
      </c>
      <c r="D4" s="8">
        <v>2023</v>
      </c>
      <c r="E4" s="29">
        <v>3</v>
      </c>
      <c r="F4">
        <v>4</v>
      </c>
      <c r="G4">
        <v>64</v>
      </c>
      <c r="H4">
        <v>100</v>
      </c>
      <c r="I4">
        <v>48</v>
      </c>
      <c r="J4">
        <v>6.67</v>
      </c>
      <c r="K4" t="s">
        <v>39</v>
      </c>
      <c r="L4" t="s">
        <v>22</v>
      </c>
      <c r="M4" t="s">
        <v>40</v>
      </c>
      <c r="N4" t="s">
        <v>24</v>
      </c>
      <c r="O4" t="s">
        <v>41</v>
      </c>
      <c r="P4" t="s">
        <v>35</v>
      </c>
      <c r="Q4">
        <v>599</v>
      </c>
      <c r="R4">
        <v>408</v>
      </c>
      <c r="T4" s="1" t="s">
        <v>1086</v>
      </c>
      <c r="U4" s="1" t="s">
        <v>1083</v>
      </c>
      <c r="W4" s="16" t="s">
        <v>1108</v>
      </c>
      <c r="X4" s="17" t="s">
        <v>1104</v>
      </c>
    </row>
    <row r="5" spans="1:24">
      <c r="A5" t="s">
        <v>42</v>
      </c>
      <c r="B5" t="s">
        <v>19</v>
      </c>
      <c r="C5" t="s">
        <v>20</v>
      </c>
      <c r="D5" s="8">
        <v>2021</v>
      </c>
      <c r="E5" s="29">
        <v>5</v>
      </c>
      <c r="F5">
        <v>12</v>
      </c>
      <c r="G5">
        <v>64</v>
      </c>
      <c r="H5">
        <v>96</v>
      </c>
      <c r="I5">
        <v>48</v>
      </c>
      <c r="J5">
        <v>6.1</v>
      </c>
      <c r="K5" t="s">
        <v>21</v>
      </c>
      <c r="L5" t="s">
        <v>22</v>
      </c>
      <c r="M5" t="s">
        <v>23</v>
      </c>
      <c r="N5" t="s">
        <v>33</v>
      </c>
      <c r="O5" t="s">
        <v>25</v>
      </c>
      <c r="P5" t="s">
        <v>26</v>
      </c>
      <c r="Q5">
        <v>599</v>
      </c>
      <c r="R5">
        <v>449</v>
      </c>
      <c r="T5" s="1" t="s">
        <v>1087</v>
      </c>
      <c r="U5" s="1" t="s">
        <v>1084</v>
      </c>
      <c r="W5" s="16" t="s">
        <v>1109</v>
      </c>
      <c r="X5" s="17" t="s">
        <v>1105</v>
      </c>
    </row>
    <row r="6" spans="1:24">
      <c r="A6" t="s">
        <v>43</v>
      </c>
      <c r="B6" t="s">
        <v>44</v>
      </c>
      <c r="C6" t="s">
        <v>45</v>
      </c>
      <c r="D6" s="8">
        <v>2021</v>
      </c>
      <c r="E6" s="29">
        <v>5</v>
      </c>
      <c r="F6">
        <v>12</v>
      </c>
      <c r="G6">
        <v>256</v>
      </c>
      <c r="H6">
        <v>80</v>
      </c>
      <c r="I6">
        <v>64</v>
      </c>
      <c r="J6">
        <v>6.78</v>
      </c>
      <c r="K6" t="s">
        <v>46</v>
      </c>
      <c r="L6" t="s">
        <v>31</v>
      </c>
      <c r="M6" t="s">
        <v>47</v>
      </c>
      <c r="N6" t="s">
        <v>24</v>
      </c>
      <c r="O6" t="s">
        <v>48</v>
      </c>
      <c r="P6" t="s">
        <v>26</v>
      </c>
      <c r="Q6">
        <v>799</v>
      </c>
      <c r="R6">
        <v>745</v>
      </c>
      <c r="W6" s="16" t="s">
        <v>1110</v>
      </c>
      <c r="X6" s="17" t="s">
        <v>1106</v>
      </c>
    </row>
    <row r="7" spans="1:24">
      <c r="A7" t="s">
        <v>49</v>
      </c>
      <c r="B7" t="s">
        <v>28</v>
      </c>
      <c r="C7" t="s">
        <v>29</v>
      </c>
      <c r="D7" s="8">
        <v>2023</v>
      </c>
      <c r="E7" s="29">
        <v>3</v>
      </c>
      <c r="F7">
        <v>6</v>
      </c>
      <c r="G7">
        <v>56</v>
      </c>
      <c r="H7">
        <v>90</v>
      </c>
      <c r="I7">
        <v>12</v>
      </c>
      <c r="J7">
        <v>6.78</v>
      </c>
      <c r="K7" t="s">
        <v>30</v>
      </c>
      <c r="L7" t="s">
        <v>22</v>
      </c>
      <c r="M7" t="s">
        <v>47</v>
      </c>
      <c r="N7" t="s">
        <v>33</v>
      </c>
      <c r="O7" t="s">
        <v>34</v>
      </c>
      <c r="P7" t="s">
        <v>26</v>
      </c>
      <c r="Q7">
        <v>599</v>
      </c>
      <c r="R7">
        <v>428</v>
      </c>
    </row>
    <row r="8" spans="1:24">
      <c r="A8" t="s">
        <v>50</v>
      </c>
      <c r="B8" t="s">
        <v>44</v>
      </c>
      <c r="C8" t="s">
        <v>45</v>
      </c>
      <c r="D8" s="8">
        <v>2023</v>
      </c>
      <c r="E8" s="29">
        <v>3</v>
      </c>
      <c r="F8">
        <v>12</v>
      </c>
      <c r="G8">
        <v>512</v>
      </c>
      <c r="H8">
        <v>84</v>
      </c>
      <c r="I8">
        <v>12</v>
      </c>
      <c r="J8">
        <v>6.4</v>
      </c>
      <c r="K8" t="s">
        <v>46</v>
      </c>
      <c r="L8" t="s">
        <v>22</v>
      </c>
      <c r="M8" t="s">
        <v>47</v>
      </c>
      <c r="N8" t="s">
        <v>24</v>
      </c>
      <c r="O8" t="s">
        <v>25</v>
      </c>
      <c r="P8" t="s">
        <v>26</v>
      </c>
      <c r="Q8">
        <v>799</v>
      </c>
      <c r="R8">
        <v>603</v>
      </c>
      <c r="T8" t="s">
        <v>1077</v>
      </c>
      <c r="U8" s="14" t="s">
        <v>44</v>
      </c>
      <c r="V8" s="20" t="s">
        <v>1113</v>
      </c>
    </row>
    <row r="9" spans="1:24">
      <c r="A9" t="s">
        <v>51</v>
      </c>
      <c r="B9" t="s">
        <v>44</v>
      </c>
      <c r="C9" t="s">
        <v>45</v>
      </c>
      <c r="D9" s="8">
        <v>2021</v>
      </c>
      <c r="E9" s="29">
        <v>5</v>
      </c>
      <c r="F9">
        <v>12</v>
      </c>
      <c r="G9">
        <v>512</v>
      </c>
      <c r="H9">
        <v>76</v>
      </c>
      <c r="I9">
        <v>108</v>
      </c>
      <c r="J9">
        <v>6.4</v>
      </c>
      <c r="K9" t="s">
        <v>46</v>
      </c>
      <c r="L9" t="s">
        <v>22</v>
      </c>
      <c r="M9" t="s">
        <v>40</v>
      </c>
      <c r="N9" t="s">
        <v>33</v>
      </c>
      <c r="O9" t="s">
        <v>52</v>
      </c>
      <c r="P9" t="s">
        <v>35</v>
      </c>
      <c r="Q9">
        <v>799</v>
      </c>
      <c r="R9">
        <v>604</v>
      </c>
      <c r="T9" t="s">
        <v>1078</v>
      </c>
      <c r="U9" s="13" t="s">
        <v>31</v>
      </c>
      <c r="V9" s="20" t="s">
        <v>1114</v>
      </c>
    </row>
    <row r="10" spans="1:24">
      <c r="A10" t="s">
        <v>53</v>
      </c>
      <c r="B10" t="s">
        <v>54</v>
      </c>
      <c r="C10" t="s">
        <v>55</v>
      </c>
      <c r="D10" s="8">
        <v>2020</v>
      </c>
      <c r="E10" s="29">
        <v>6</v>
      </c>
      <c r="F10">
        <v>4</v>
      </c>
      <c r="G10">
        <v>128</v>
      </c>
      <c r="H10">
        <v>75</v>
      </c>
      <c r="I10">
        <v>64</v>
      </c>
      <c r="J10">
        <v>6.2</v>
      </c>
      <c r="K10" t="s">
        <v>56</v>
      </c>
      <c r="L10" t="s">
        <v>57</v>
      </c>
      <c r="M10" t="s">
        <v>32</v>
      </c>
      <c r="N10" t="s">
        <v>24</v>
      </c>
      <c r="O10" t="s">
        <v>52</v>
      </c>
      <c r="P10" t="s">
        <v>26</v>
      </c>
      <c r="Q10">
        <v>549</v>
      </c>
      <c r="R10">
        <v>267</v>
      </c>
      <c r="T10" t="s">
        <v>1079</v>
      </c>
      <c r="U10" s="15">
        <f>CORREL(F2:F1001,R2:R1001)</f>
        <v>8.2691864031609025E-2</v>
      </c>
      <c r="V10" s="20" t="s">
        <v>1115</v>
      </c>
    </row>
    <row r="11" spans="1:24">
      <c r="A11" t="s">
        <v>58</v>
      </c>
      <c r="B11" t="s">
        <v>37</v>
      </c>
      <c r="C11" t="s">
        <v>38</v>
      </c>
      <c r="D11" s="8">
        <v>2022</v>
      </c>
      <c r="E11" s="29">
        <v>4</v>
      </c>
      <c r="F11">
        <v>8</v>
      </c>
      <c r="G11">
        <v>256</v>
      </c>
      <c r="H11">
        <v>86</v>
      </c>
      <c r="I11">
        <v>108</v>
      </c>
      <c r="J11">
        <v>6.78</v>
      </c>
      <c r="K11" t="s">
        <v>39</v>
      </c>
      <c r="L11" t="s">
        <v>59</v>
      </c>
      <c r="M11" t="s">
        <v>60</v>
      </c>
      <c r="N11" t="s">
        <v>24</v>
      </c>
      <c r="O11" t="s">
        <v>61</v>
      </c>
      <c r="P11" t="s">
        <v>35</v>
      </c>
      <c r="Q11">
        <v>599</v>
      </c>
      <c r="R11">
        <v>557</v>
      </c>
      <c r="T11" t="s">
        <v>1080</v>
      </c>
      <c r="U11" s="15">
        <f>CORREL(G2:G1001,R2:R1001)</f>
        <v>0.23078990752487474</v>
      </c>
      <c r="V11" s="20" t="s">
        <v>1116</v>
      </c>
    </row>
    <row r="12" spans="1:24">
      <c r="A12" t="s">
        <v>62</v>
      </c>
      <c r="B12" t="s">
        <v>54</v>
      </c>
      <c r="C12" t="s">
        <v>55</v>
      </c>
      <c r="D12" s="8">
        <v>2020</v>
      </c>
      <c r="E12" s="29">
        <v>6</v>
      </c>
      <c r="F12">
        <v>4</v>
      </c>
      <c r="G12">
        <v>256</v>
      </c>
      <c r="H12">
        <v>93</v>
      </c>
      <c r="I12">
        <v>50</v>
      </c>
      <c r="J12">
        <v>6.7</v>
      </c>
      <c r="K12" t="s">
        <v>56</v>
      </c>
      <c r="L12" t="s">
        <v>31</v>
      </c>
      <c r="M12" t="s">
        <v>60</v>
      </c>
      <c r="N12" t="s">
        <v>33</v>
      </c>
      <c r="O12" t="s">
        <v>48</v>
      </c>
      <c r="P12" t="s">
        <v>26</v>
      </c>
      <c r="Q12">
        <v>549</v>
      </c>
      <c r="R12">
        <v>539</v>
      </c>
      <c r="T12" t="s">
        <v>1081</v>
      </c>
      <c r="U12" s="15">
        <f>CORREL(E2:E1001,R2:R1001)</f>
        <v>1.6870641586093162E-2</v>
      </c>
      <c r="V12" s="20" t="s">
        <v>1117</v>
      </c>
    </row>
    <row r="13" spans="1:24">
      <c r="A13" t="s">
        <v>63</v>
      </c>
      <c r="B13" t="s">
        <v>64</v>
      </c>
      <c r="C13" t="s">
        <v>65</v>
      </c>
      <c r="D13" s="8">
        <v>2022</v>
      </c>
      <c r="E13" s="29">
        <v>4</v>
      </c>
      <c r="F13">
        <v>6</v>
      </c>
      <c r="G13">
        <v>256</v>
      </c>
      <c r="H13">
        <v>87</v>
      </c>
      <c r="I13">
        <v>48</v>
      </c>
      <c r="J13">
        <v>6.5</v>
      </c>
      <c r="K13" t="s">
        <v>66</v>
      </c>
      <c r="L13" t="s">
        <v>59</v>
      </c>
      <c r="M13" t="s">
        <v>23</v>
      </c>
      <c r="N13" t="s">
        <v>33</v>
      </c>
      <c r="O13" t="s">
        <v>48</v>
      </c>
      <c r="P13" t="s">
        <v>35</v>
      </c>
      <c r="Q13">
        <v>499</v>
      </c>
      <c r="R13">
        <v>466</v>
      </c>
      <c r="T13" s="18" t="s">
        <v>1111</v>
      </c>
      <c r="U13" s="21">
        <f>AVERAGEIFS(Table2[Selling_Price_USD],Table2[City],"Jakarta",Table2[Condition],"Excellent")</f>
        <v>530.36585365853659</v>
      </c>
      <c r="V13" s="19" t="s">
        <v>1112</v>
      </c>
    </row>
    <row r="14" spans="1:24">
      <c r="A14" t="s">
        <v>67</v>
      </c>
      <c r="B14" t="s">
        <v>68</v>
      </c>
      <c r="C14" t="s">
        <v>69</v>
      </c>
      <c r="D14" s="8">
        <v>2024</v>
      </c>
      <c r="E14" s="29">
        <v>2</v>
      </c>
      <c r="F14">
        <v>8</v>
      </c>
      <c r="G14">
        <v>64</v>
      </c>
      <c r="H14">
        <v>97</v>
      </c>
      <c r="I14">
        <v>108</v>
      </c>
      <c r="J14">
        <v>6.1</v>
      </c>
      <c r="K14" t="s">
        <v>70</v>
      </c>
      <c r="L14" t="s">
        <v>31</v>
      </c>
      <c r="M14" t="s">
        <v>60</v>
      </c>
      <c r="N14" t="s">
        <v>33</v>
      </c>
      <c r="O14" t="s">
        <v>61</v>
      </c>
      <c r="P14" t="s">
        <v>26</v>
      </c>
      <c r="Q14">
        <v>399</v>
      </c>
      <c r="R14">
        <v>368</v>
      </c>
      <c r="T14" s="18" t="s">
        <v>1119</v>
      </c>
      <c r="U14">
        <f>COUNTIF(Table2[Seller_Type],"Individual")</f>
        <v>511</v>
      </c>
      <c r="V14" s="19" t="s">
        <v>1120</v>
      </c>
    </row>
    <row r="15" spans="1:24">
      <c r="A15" t="s">
        <v>71</v>
      </c>
      <c r="B15" t="s">
        <v>19</v>
      </c>
      <c r="C15" t="s">
        <v>20</v>
      </c>
      <c r="D15" s="8">
        <v>2024</v>
      </c>
      <c r="E15" s="29">
        <v>2</v>
      </c>
      <c r="F15">
        <v>4</v>
      </c>
      <c r="G15">
        <v>512</v>
      </c>
      <c r="H15">
        <v>76</v>
      </c>
      <c r="I15">
        <v>64</v>
      </c>
      <c r="J15">
        <v>6.78</v>
      </c>
      <c r="K15" t="s">
        <v>21</v>
      </c>
      <c r="L15" t="s">
        <v>59</v>
      </c>
      <c r="M15" t="s">
        <v>47</v>
      </c>
      <c r="N15" t="s">
        <v>24</v>
      </c>
      <c r="O15" t="s">
        <v>34</v>
      </c>
      <c r="P15" t="s">
        <v>35</v>
      </c>
      <c r="Q15">
        <v>599</v>
      </c>
      <c r="R15">
        <v>567</v>
      </c>
      <c r="T15" s="18" t="s">
        <v>1118</v>
      </c>
      <c r="U15">
        <f>COUNTIFS(Table2[Seller_Type],"Individual",Table2[Warranty],"Yes")</f>
        <v>263</v>
      </c>
      <c r="V15" s="19" t="s">
        <v>1121</v>
      </c>
    </row>
    <row r="16" spans="1:24">
      <c r="A16" t="s">
        <v>72</v>
      </c>
      <c r="B16" t="s">
        <v>73</v>
      </c>
      <c r="C16" t="s">
        <v>74</v>
      </c>
      <c r="D16" s="8">
        <v>2024</v>
      </c>
      <c r="E16" s="29">
        <v>2</v>
      </c>
      <c r="F16">
        <v>8</v>
      </c>
      <c r="G16">
        <v>64</v>
      </c>
      <c r="H16">
        <v>90</v>
      </c>
      <c r="I16">
        <v>108</v>
      </c>
      <c r="J16">
        <v>6.78</v>
      </c>
      <c r="K16" t="s">
        <v>75</v>
      </c>
      <c r="L16" t="s">
        <v>59</v>
      </c>
      <c r="M16" t="s">
        <v>60</v>
      </c>
      <c r="N16" t="s">
        <v>24</v>
      </c>
      <c r="O16" t="s">
        <v>52</v>
      </c>
      <c r="P16" t="s">
        <v>26</v>
      </c>
      <c r="Q16">
        <v>799</v>
      </c>
      <c r="R16">
        <v>644</v>
      </c>
      <c r="T16" s="18" t="s">
        <v>1122</v>
      </c>
      <c r="U16" s="21">
        <f>SUMIFS(Table2[Selling_Price_USD], Table2[Brand],"Samsung",Table2[Condition],"Like New" )</f>
        <v>11779</v>
      </c>
      <c r="V16" s="24" t="s">
        <v>1123</v>
      </c>
    </row>
    <row r="17" spans="1:22">
      <c r="A17" t="s">
        <v>76</v>
      </c>
      <c r="B17" t="s">
        <v>77</v>
      </c>
      <c r="C17" t="s">
        <v>78</v>
      </c>
      <c r="D17" s="8">
        <v>2024</v>
      </c>
      <c r="E17" s="29">
        <v>2</v>
      </c>
      <c r="F17">
        <v>4</v>
      </c>
      <c r="G17">
        <v>64</v>
      </c>
      <c r="H17">
        <v>93</v>
      </c>
      <c r="I17">
        <v>64</v>
      </c>
      <c r="J17">
        <v>6.5</v>
      </c>
      <c r="K17" t="s">
        <v>79</v>
      </c>
      <c r="L17" t="s">
        <v>22</v>
      </c>
      <c r="M17" t="s">
        <v>40</v>
      </c>
      <c r="N17" t="s">
        <v>24</v>
      </c>
      <c r="O17" t="s">
        <v>48</v>
      </c>
      <c r="P17" t="s">
        <v>35</v>
      </c>
      <c r="Q17">
        <v>699</v>
      </c>
      <c r="R17">
        <v>470</v>
      </c>
      <c r="T17" s="23" t="s">
        <v>1124</v>
      </c>
      <c r="U17" s="21">
        <f>AVERAGEIFS(Table2[Selling_Price_USD],Table2[Brand],"Apple" )</f>
        <v>625</v>
      </c>
      <c r="V17" s="22" t="s">
        <v>1125</v>
      </c>
    </row>
    <row r="18" spans="1:22">
      <c r="A18" t="s">
        <v>80</v>
      </c>
      <c r="B18" t="s">
        <v>68</v>
      </c>
      <c r="C18" t="s">
        <v>81</v>
      </c>
      <c r="D18" s="8">
        <v>2023</v>
      </c>
      <c r="E18" s="29">
        <v>3</v>
      </c>
      <c r="F18">
        <v>4</v>
      </c>
      <c r="G18">
        <v>256</v>
      </c>
      <c r="H18">
        <v>92</v>
      </c>
      <c r="I18">
        <v>12</v>
      </c>
      <c r="J18">
        <v>6.67</v>
      </c>
      <c r="K18" t="s">
        <v>82</v>
      </c>
      <c r="L18" t="s">
        <v>22</v>
      </c>
      <c r="M18" t="s">
        <v>32</v>
      </c>
      <c r="N18" t="s">
        <v>33</v>
      </c>
      <c r="O18" t="s">
        <v>48</v>
      </c>
      <c r="P18" t="s">
        <v>35</v>
      </c>
      <c r="Q18">
        <v>299</v>
      </c>
      <c r="R18">
        <v>257</v>
      </c>
    </row>
    <row r="19" spans="1:22">
      <c r="A19" t="s">
        <v>83</v>
      </c>
      <c r="B19" t="s">
        <v>54</v>
      </c>
      <c r="C19" t="s">
        <v>55</v>
      </c>
      <c r="D19" s="8">
        <v>2020</v>
      </c>
      <c r="E19" s="29">
        <v>6</v>
      </c>
      <c r="F19">
        <v>8</v>
      </c>
      <c r="G19">
        <v>512</v>
      </c>
      <c r="H19">
        <v>77</v>
      </c>
      <c r="I19">
        <v>108</v>
      </c>
      <c r="J19">
        <v>6.78</v>
      </c>
      <c r="K19" t="s">
        <v>56</v>
      </c>
      <c r="L19" t="s">
        <v>31</v>
      </c>
      <c r="M19" t="s">
        <v>32</v>
      </c>
      <c r="N19" t="s">
        <v>33</v>
      </c>
      <c r="O19" t="s">
        <v>84</v>
      </c>
      <c r="P19" t="s">
        <v>26</v>
      </c>
      <c r="Q19">
        <v>549</v>
      </c>
      <c r="R19">
        <v>539</v>
      </c>
    </row>
    <row r="20" spans="1:22">
      <c r="A20" t="s">
        <v>85</v>
      </c>
      <c r="B20" t="s">
        <v>64</v>
      </c>
      <c r="C20" t="s">
        <v>65</v>
      </c>
      <c r="D20" s="8">
        <v>2022</v>
      </c>
      <c r="E20" s="29">
        <v>4</v>
      </c>
      <c r="F20">
        <v>8</v>
      </c>
      <c r="G20">
        <v>512</v>
      </c>
      <c r="H20">
        <v>100</v>
      </c>
      <c r="I20">
        <v>64</v>
      </c>
      <c r="J20">
        <v>6.2</v>
      </c>
      <c r="K20" t="s">
        <v>66</v>
      </c>
      <c r="L20" t="s">
        <v>31</v>
      </c>
      <c r="M20" t="s">
        <v>86</v>
      </c>
      <c r="N20" t="s">
        <v>33</v>
      </c>
      <c r="O20" t="s">
        <v>87</v>
      </c>
      <c r="P20" t="s">
        <v>26</v>
      </c>
      <c r="Q20">
        <v>499</v>
      </c>
      <c r="R20">
        <v>489</v>
      </c>
    </row>
    <row r="21" spans="1:22">
      <c r="A21" t="s">
        <v>88</v>
      </c>
      <c r="B21" t="s">
        <v>89</v>
      </c>
      <c r="C21" t="s">
        <v>90</v>
      </c>
      <c r="D21" s="8">
        <v>2020</v>
      </c>
      <c r="E21" s="29">
        <v>6</v>
      </c>
      <c r="F21">
        <v>12</v>
      </c>
      <c r="G21">
        <v>128</v>
      </c>
      <c r="H21">
        <v>84</v>
      </c>
      <c r="I21">
        <v>108</v>
      </c>
      <c r="J21">
        <v>6.78</v>
      </c>
      <c r="K21" t="s">
        <v>91</v>
      </c>
      <c r="L21" t="s">
        <v>31</v>
      </c>
      <c r="M21" t="s">
        <v>23</v>
      </c>
      <c r="N21" t="s">
        <v>33</v>
      </c>
      <c r="O21" t="s">
        <v>25</v>
      </c>
      <c r="P21" t="s">
        <v>35</v>
      </c>
      <c r="Q21">
        <v>449</v>
      </c>
      <c r="R21">
        <v>439</v>
      </c>
    </row>
    <row r="22" spans="1:22">
      <c r="A22" t="s">
        <v>92</v>
      </c>
      <c r="B22" t="s">
        <v>44</v>
      </c>
      <c r="C22" t="s">
        <v>45</v>
      </c>
      <c r="D22" s="8">
        <v>2020</v>
      </c>
      <c r="E22" s="29">
        <v>6</v>
      </c>
      <c r="F22">
        <v>12</v>
      </c>
      <c r="G22">
        <v>512</v>
      </c>
      <c r="H22">
        <v>96</v>
      </c>
      <c r="I22">
        <v>12</v>
      </c>
      <c r="J22">
        <v>6.1</v>
      </c>
      <c r="K22" t="s">
        <v>46</v>
      </c>
      <c r="L22" t="s">
        <v>59</v>
      </c>
      <c r="M22" t="s">
        <v>40</v>
      </c>
      <c r="N22" t="s">
        <v>24</v>
      </c>
      <c r="O22" t="s">
        <v>48</v>
      </c>
      <c r="P22" t="s">
        <v>26</v>
      </c>
      <c r="Q22">
        <v>799</v>
      </c>
      <c r="R22">
        <v>764</v>
      </c>
    </row>
    <row r="23" spans="1:22">
      <c r="A23" t="s">
        <v>93</v>
      </c>
      <c r="B23" t="s">
        <v>37</v>
      </c>
      <c r="C23" t="s">
        <v>38</v>
      </c>
      <c r="D23" s="8">
        <v>2023</v>
      </c>
      <c r="E23" s="29">
        <v>3</v>
      </c>
      <c r="F23">
        <v>4</v>
      </c>
      <c r="G23">
        <v>128</v>
      </c>
      <c r="H23">
        <v>97</v>
      </c>
      <c r="I23">
        <v>48</v>
      </c>
      <c r="J23">
        <v>6.4</v>
      </c>
      <c r="K23" t="s">
        <v>39</v>
      </c>
      <c r="L23" t="s">
        <v>22</v>
      </c>
      <c r="M23" t="s">
        <v>32</v>
      </c>
      <c r="N23" t="s">
        <v>24</v>
      </c>
      <c r="O23" t="s">
        <v>48</v>
      </c>
      <c r="P23" t="s">
        <v>26</v>
      </c>
      <c r="Q23">
        <v>599</v>
      </c>
      <c r="R23">
        <v>415</v>
      </c>
    </row>
    <row r="24" spans="1:22">
      <c r="A24" t="s">
        <v>94</v>
      </c>
      <c r="B24" t="s">
        <v>44</v>
      </c>
      <c r="C24" t="s">
        <v>45</v>
      </c>
      <c r="D24" s="8">
        <v>2020</v>
      </c>
      <c r="E24" s="29">
        <v>6</v>
      </c>
      <c r="F24">
        <v>6</v>
      </c>
      <c r="G24">
        <v>512</v>
      </c>
      <c r="H24">
        <v>86</v>
      </c>
      <c r="I24">
        <v>50</v>
      </c>
      <c r="J24">
        <v>6.67</v>
      </c>
      <c r="K24" t="s">
        <v>46</v>
      </c>
      <c r="L24" t="s">
        <v>31</v>
      </c>
      <c r="M24" t="s">
        <v>32</v>
      </c>
      <c r="N24" t="s">
        <v>24</v>
      </c>
      <c r="O24" t="s">
        <v>61</v>
      </c>
      <c r="P24" t="s">
        <v>35</v>
      </c>
      <c r="Q24">
        <v>799</v>
      </c>
      <c r="R24">
        <v>789</v>
      </c>
    </row>
    <row r="25" spans="1:22">
      <c r="A25" t="s">
        <v>95</v>
      </c>
      <c r="B25" t="s">
        <v>44</v>
      </c>
      <c r="C25" t="s">
        <v>45</v>
      </c>
      <c r="D25" s="8">
        <v>2023</v>
      </c>
      <c r="E25" s="29">
        <v>3</v>
      </c>
      <c r="F25">
        <v>8</v>
      </c>
      <c r="G25">
        <v>128</v>
      </c>
      <c r="H25">
        <v>87</v>
      </c>
      <c r="I25">
        <v>12</v>
      </c>
      <c r="J25">
        <v>6.4</v>
      </c>
      <c r="K25" t="s">
        <v>46</v>
      </c>
      <c r="L25" t="s">
        <v>59</v>
      </c>
      <c r="M25" t="s">
        <v>86</v>
      </c>
      <c r="N25" t="s">
        <v>33</v>
      </c>
      <c r="O25" t="s">
        <v>41</v>
      </c>
      <c r="P25" t="s">
        <v>35</v>
      </c>
      <c r="Q25">
        <v>799</v>
      </c>
      <c r="R25">
        <v>639</v>
      </c>
    </row>
    <row r="26" spans="1:22">
      <c r="A26" t="s">
        <v>96</v>
      </c>
      <c r="B26" t="s">
        <v>73</v>
      </c>
      <c r="C26" t="s">
        <v>74</v>
      </c>
      <c r="D26" s="8">
        <v>2022</v>
      </c>
      <c r="E26" s="29">
        <v>4</v>
      </c>
      <c r="F26">
        <v>12</v>
      </c>
      <c r="G26">
        <v>512</v>
      </c>
      <c r="H26">
        <v>90</v>
      </c>
      <c r="I26">
        <v>12</v>
      </c>
      <c r="J26">
        <v>6.4</v>
      </c>
      <c r="K26" t="s">
        <v>75</v>
      </c>
      <c r="L26" t="s">
        <v>31</v>
      </c>
      <c r="M26" t="s">
        <v>23</v>
      </c>
      <c r="N26" t="s">
        <v>33</v>
      </c>
      <c r="O26" t="s">
        <v>34</v>
      </c>
      <c r="P26" t="s">
        <v>35</v>
      </c>
      <c r="Q26">
        <v>799</v>
      </c>
      <c r="R26">
        <v>789</v>
      </c>
    </row>
    <row r="27" spans="1:22">
      <c r="A27" t="s">
        <v>97</v>
      </c>
      <c r="B27" t="s">
        <v>68</v>
      </c>
      <c r="C27" t="s">
        <v>81</v>
      </c>
      <c r="D27" s="8">
        <v>2024</v>
      </c>
      <c r="E27" s="29">
        <v>2</v>
      </c>
      <c r="F27">
        <v>6</v>
      </c>
      <c r="G27">
        <v>512</v>
      </c>
      <c r="H27">
        <v>83</v>
      </c>
      <c r="I27">
        <v>48</v>
      </c>
      <c r="J27">
        <v>6.7</v>
      </c>
      <c r="K27" t="s">
        <v>82</v>
      </c>
      <c r="L27" t="s">
        <v>22</v>
      </c>
      <c r="M27" t="s">
        <v>47</v>
      </c>
      <c r="N27" t="s">
        <v>33</v>
      </c>
      <c r="O27" t="s">
        <v>87</v>
      </c>
      <c r="P27" t="s">
        <v>26</v>
      </c>
      <c r="Q27">
        <v>299</v>
      </c>
      <c r="R27">
        <v>289</v>
      </c>
    </row>
    <row r="28" spans="1:22">
      <c r="A28" t="s">
        <v>98</v>
      </c>
      <c r="B28" t="s">
        <v>68</v>
      </c>
      <c r="C28" t="s">
        <v>81</v>
      </c>
      <c r="D28" s="8">
        <v>2023</v>
      </c>
      <c r="E28" s="29">
        <v>3</v>
      </c>
      <c r="F28">
        <v>4</v>
      </c>
      <c r="G28">
        <v>256</v>
      </c>
      <c r="H28">
        <v>98</v>
      </c>
      <c r="I28">
        <v>64</v>
      </c>
      <c r="J28">
        <v>6.78</v>
      </c>
      <c r="K28" t="s">
        <v>82</v>
      </c>
      <c r="L28" t="s">
        <v>59</v>
      </c>
      <c r="M28" t="s">
        <v>23</v>
      </c>
      <c r="N28" t="s">
        <v>33</v>
      </c>
      <c r="O28" t="s">
        <v>34</v>
      </c>
      <c r="P28" t="s">
        <v>26</v>
      </c>
      <c r="Q28">
        <v>299</v>
      </c>
      <c r="R28">
        <v>289</v>
      </c>
    </row>
    <row r="29" spans="1:22">
      <c r="A29" t="s">
        <v>99</v>
      </c>
      <c r="B29" t="s">
        <v>54</v>
      </c>
      <c r="C29" t="s">
        <v>55</v>
      </c>
      <c r="D29" s="8">
        <v>2020</v>
      </c>
      <c r="E29" s="29">
        <v>6</v>
      </c>
      <c r="F29">
        <v>6</v>
      </c>
      <c r="G29">
        <v>128</v>
      </c>
      <c r="H29">
        <v>96</v>
      </c>
      <c r="I29">
        <v>48</v>
      </c>
      <c r="J29">
        <v>6.5</v>
      </c>
      <c r="K29" t="s">
        <v>56</v>
      </c>
      <c r="L29" t="s">
        <v>59</v>
      </c>
      <c r="M29" t="s">
        <v>23</v>
      </c>
      <c r="N29" t="s">
        <v>33</v>
      </c>
      <c r="O29" t="s">
        <v>25</v>
      </c>
      <c r="P29" t="s">
        <v>26</v>
      </c>
      <c r="Q29">
        <v>549</v>
      </c>
      <c r="R29">
        <v>487</v>
      </c>
    </row>
    <row r="30" spans="1:22">
      <c r="A30" t="s">
        <v>100</v>
      </c>
      <c r="B30" t="s">
        <v>28</v>
      </c>
      <c r="C30" t="s">
        <v>29</v>
      </c>
      <c r="D30" s="8">
        <v>2022</v>
      </c>
      <c r="E30" s="29">
        <v>4</v>
      </c>
      <c r="F30">
        <v>6</v>
      </c>
      <c r="G30">
        <v>256</v>
      </c>
      <c r="H30">
        <v>90</v>
      </c>
      <c r="I30">
        <v>64</v>
      </c>
      <c r="J30">
        <v>6.7</v>
      </c>
      <c r="K30" t="s">
        <v>30</v>
      </c>
      <c r="L30" t="s">
        <v>22</v>
      </c>
      <c r="M30" t="s">
        <v>23</v>
      </c>
      <c r="N30" t="s">
        <v>33</v>
      </c>
      <c r="O30" t="s">
        <v>87</v>
      </c>
      <c r="P30" t="s">
        <v>26</v>
      </c>
      <c r="Q30">
        <v>599</v>
      </c>
      <c r="R30">
        <v>427</v>
      </c>
    </row>
    <row r="31" spans="1:22">
      <c r="A31" t="s">
        <v>101</v>
      </c>
      <c r="B31" t="s">
        <v>44</v>
      </c>
      <c r="C31" t="s">
        <v>45</v>
      </c>
      <c r="D31" s="8">
        <v>2021</v>
      </c>
      <c r="E31" s="29">
        <v>5</v>
      </c>
      <c r="F31">
        <v>4</v>
      </c>
      <c r="G31">
        <v>128</v>
      </c>
      <c r="H31">
        <v>76</v>
      </c>
      <c r="I31">
        <v>50</v>
      </c>
      <c r="J31">
        <v>6.78</v>
      </c>
      <c r="K31" t="s">
        <v>46</v>
      </c>
      <c r="L31" t="s">
        <v>22</v>
      </c>
      <c r="M31" t="s">
        <v>86</v>
      </c>
      <c r="N31" t="s">
        <v>33</v>
      </c>
      <c r="O31" t="s">
        <v>52</v>
      </c>
      <c r="P31" t="s">
        <v>26</v>
      </c>
      <c r="Q31">
        <v>799</v>
      </c>
      <c r="R31">
        <v>560</v>
      </c>
    </row>
    <row r="32" spans="1:22">
      <c r="A32" t="s">
        <v>102</v>
      </c>
      <c r="B32" t="s">
        <v>77</v>
      </c>
      <c r="C32" t="s">
        <v>78</v>
      </c>
      <c r="D32" s="8">
        <v>2021</v>
      </c>
      <c r="E32" s="29">
        <v>5</v>
      </c>
      <c r="F32">
        <v>8</v>
      </c>
      <c r="G32">
        <v>256</v>
      </c>
      <c r="H32">
        <v>95</v>
      </c>
      <c r="I32">
        <v>12</v>
      </c>
      <c r="J32">
        <v>6.78</v>
      </c>
      <c r="K32" t="s">
        <v>79</v>
      </c>
      <c r="L32" t="s">
        <v>31</v>
      </c>
      <c r="M32" t="s">
        <v>47</v>
      </c>
      <c r="N32" t="s">
        <v>33</v>
      </c>
      <c r="O32" t="s">
        <v>48</v>
      </c>
      <c r="P32" t="s">
        <v>35</v>
      </c>
      <c r="Q32">
        <v>699</v>
      </c>
      <c r="R32">
        <v>663</v>
      </c>
    </row>
    <row r="33" spans="1:18">
      <c r="A33" t="s">
        <v>103</v>
      </c>
      <c r="B33" t="s">
        <v>44</v>
      </c>
      <c r="C33" t="s">
        <v>45</v>
      </c>
      <c r="D33" s="8">
        <v>2024</v>
      </c>
      <c r="E33" s="29">
        <v>2</v>
      </c>
      <c r="F33">
        <v>6</v>
      </c>
      <c r="G33">
        <v>128</v>
      </c>
      <c r="H33">
        <v>90</v>
      </c>
      <c r="I33">
        <v>108</v>
      </c>
      <c r="J33">
        <v>6.7</v>
      </c>
      <c r="K33" t="s">
        <v>46</v>
      </c>
      <c r="L33" t="s">
        <v>31</v>
      </c>
      <c r="M33" t="s">
        <v>23</v>
      </c>
      <c r="N33" t="s">
        <v>33</v>
      </c>
      <c r="O33" t="s">
        <v>84</v>
      </c>
      <c r="P33" t="s">
        <v>35</v>
      </c>
      <c r="Q33">
        <v>799</v>
      </c>
      <c r="R33">
        <v>749</v>
      </c>
    </row>
    <row r="34" spans="1:18">
      <c r="A34" t="s">
        <v>104</v>
      </c>
      <c r="B34" t="s">
        <v>73</v>
      </c>
      <c r="C34" t="s">
        <v>105</v>
      </c>
      <c r="D34" s="8">
        <v>2020</v>
      </c>
      <c r="E34" s="29">
        <v>6</v>
      </c>
      <c r="F34">
        <v>12</v>
      </c>
      <c r="G34">
        <v>128</v>
      </c>
      <c r="H34">
        <v>86</v>
      </c>
      <c r="I34">
        <v>108</v>
      </c>
      <c r="J34">
        <v>6.4</v>
      </c>
      <c r="K34" t="s">
        <v>75</v>
      </c>
      <c r="L34" t="s">
        <v>57</v>
      </c>
      <c r="M34" t="s">
        <v>60</v>
      </c>
      <c r="N34" t="s">
        <v>24</v>
      </c>
      <c r="O34" t="s">
        <v>41</v>
      </c>
      <c r="P34" t="s">
        <v>35</v>
      </c>
      <c r="Q34">
        <v>899</v>
      </c>
      <c r="R34">
        <v>493</v>
      </c>
    </row>
    <row r="35" spans="1:18">
      <c r="A35" t="s">
        <v>106</v>
      </c>
      <c r="B35" t="s">
        <v>64</v>
      </c>
      <c r="C35" t="s">
        <v>65</v>
      </c>
      <c r="D35" s="8">
        <v>2021</v>
      </c>
      <c r="E35" s="29">
        <v>5</v>
      </c>
      <c r="F35">
        <v>8</v>
      </c>
      <c r="G35">
        <v>128</v>
      </c>
      <c r="H35">
        <v>79</v>
      </c>
      <c r="I35">
        <v>48</v>
      </c>
      <c r="J35">
        <v>6.5</v>
      </c>
      <c r="K35" t="s">
        <v>66</v>
      </c>
      <c r="L35" t="s">
        <v>22</v>
      </c>
      <c r="M35" t="s">
        <v>40</v>
      </c>
      <c r="N35" t="s">
        <v>33</v>
      </c>
      <c r="O35" t="s">
        <v>25</v>
      </c>
      <c r="P35" t="s">
        <v>35</v>
      </c>
      <c r="Q35">
        <v>499</v>
      </c>
      <c r="R35">
        <v>338</v>
      </c>
    </row>
    <row r="36" spans="1:18">
      <c r="A36" t="s">
        <v>107</v>
      </c>
      <c r="B36" t="s">
        <v>37</v>
      </c>
      <c r="C36" t="s">
        <v>38</v>
      </c>
      <c r="D36" s="8">
        <v>2024</v>
      </c>
      <c r="E36" s="29">
        <v>2</v>
      </c>
      <c r="F36">
        <v>8</v>
      </c>
      <c r="G36">
        <v>256</v>
      </c>
      <c r="H36">
        <v>75</v>
      </c>
      <c r="I36">
        <v>108</v>
      </c>
      <c r="J36">
        <v>6.67</v>
      </c>
      <c r="K36" t="s">
        <v>39</v>
      </c>
      <c r="L36" t="s">
        <v>22</v>
      </c>
      <c r="M36" t="s">
        <v>40</v>
      </c>
      <c r="N36" t="s">
        <v>33</v>
      </c>
      <c r="O36" t="s">
        <v>41</v>
      </c>
      <c r="P36" t="s">
        <v>26</v>
      </c>
      <c r="Q36">
        <v>599</v>
      </c>
      <c r="R36">
        <v>440</v>
      </c>
    </row>
    <row r="37" spans="1:18">
      <c r="A37" t="s">
        <v>108</v>
      </c>
      <c r="B37" t="s">
        <v>73</v>
      </c>
      <c r="C37" t="s">
        <v>105</v>
      </c>
      <c r="D37" s="8">
        <v>2020</v>
      </c>
      <c r="E37" s="29">
        <v>6</v>
      </c>
      <c r="F37">
        <v>12</v>
      </c>
      <c r="G37">
        <v>512</v>
      </c>
      <c r="H37">
        <v>79</v>
      </c>
      <c r="I37">
        <v>12</v>
      </c>
      <c r="J37">
        <v>6.4</v>
      </c>
      <c r="K37" t="s">
        <v>75</v>
      </c>
      <c r="L37" t="s">
        <v>59</v>
      </c>
      <c r="M37" t="s">
        <v>47</v>
      </c>
      <c r="N37" t="s">
        <v>24</v>
      </c>
      <c r="O37" t="s">
        <v>61</v>
      </c>
      <c r="P37" t="s">
        <v>35</v>
      </c>
      <c r="Q37">
        <v>899</v>
      </c>
      <c r="R37">
        <v>824</v>
      </c>
    </row>
    <row r="38" spans="1:18">
      <c r="A38" t="s">
        <v>109</v>
      </c>
      <c r="B38" t="s">
        <v>77</v>
      </c>
      <c r="C38" t="s">
        <v>78</v>
      </c>
      <c r="D38" s="8">
        <v>2021</v>
      </c>
      <c r="E38" s="29">
        <v>5</v>
      </c>
      <c r="F38">
        <v>6</v>
      </c>
      <c r="G38">
        <v>128</v>
      </c>
      <c r="H38">
        <v>84</v>
      </c>
      <c r="I38">
        <v>12</v>
      </c>
      <c r="J38">
        <v>6.78</v>
      </c>
      <c r="K38" t="s">
        <v>79</v>
      </c>
      <c r="L38" t="s">
        <v>22</v>
      </c>
      <c r="M38" t="s">
        <v>47</v>
      </c>
      <c r="N38" t="s">
        <v>33</v>
      </c>
      <c r="O38" t="s">
        <v>41</v>
      </c>
      <c r="P38" t="s">
        <v>35</v>
      </c>
      <c r="Q38">
        <v>699</v>
      </c>
      <c r="R38">
        <v>468</v>
      </c>
    </row>
    <row r="39" spans="1:18">
      <c r="A39" t="s">
        <v>110</v>
      </c>
      <c r="B39" t="s">
        <v>89</v>
      </c>
      <c r="C39" t="s">
        <v>90</v>
      </c>
      <c r="D39" s="8">
        <v>2024</v>
      </c>
      <c r="E39" s="29">
        <v>2</v>
      </c>
      <c r="F39">
        <v>4</v>
      </c>
      <c r="G39">
        <v>256</v>
      </c>
      <c r="H39">
        <v>92</v>
      </c>
      <c r="I39">
        <v>64</v>
      </c>
      <c r="J39">
        <v>6.4</v>
      </c>
      <c r="K39" t="s">
        <v>91</v>
      </c>
      <c r="L39" t="s">
        <v>22</v>
      </c>
      <c r="M39" t="s">
        <v>32</v>
      </c>
      <c r="N39" t="s">
        <v>33</v>
      </c>
      <c r="O39" t="s">
        <v>34</v>
      </c>
      <c r="P39" t="s">
        <v>26</v>
      </c>
      <c r="Q39">
        <v>449</v>
      </c>
      <c r="R39">
        <v>352</v>
      </c>
    </row>
    <row r="40" spans="1:18">
      <c r="A40" t="s">
        <v>111</v>
      </c>
      <c r="B40" t="s">
        <v>37</v>
      </c>
      <c r="C40" t="s">
        <v>38</v>
      </c>
      <c r="D40" s="8">
        <v>2022</v>
      </c>
      <c r="E40" s="29">
        <v>4</v>
      </c>
      <c r="F40">
        <v>4</v>
      </c>
      <c r="G40">
        <v>512</v>
      </c>
      <c r="H40">
        <v>97</v>
      </c>
      <c r="I40">
        <v>108</v>
      </c>
      <c r="J40">
        <v>6.1</v>
      </c>
      <c r="K40" t="s">
        <v>39</v>
      </c>
      <c r="L40" t="s">
        <v>59</v>
      </c>
      <c r="M40" t="s">
        <v>40</v>
      </c>
      <c r="N40" t="s">
        <v>24</v>
      </c>
      <c r="O40" t="s">
        <v>41</v>
      </c>
      <c r="P40" t="s">
        <v>35</v>
      </c>
      <c r="Q40">
        <v>599</v>
      </c>
      <c r="R40">
        <v>561</v>
      </c>
    </row>
    <row r="41" spans="1:18">
      <c r="A41" t="s">
        <v>112</v>
      </c>
      <c r="B41" t="s">
        <v>64</v>
      </c>
      <c r="C41" t="s">
        <v>65</v>
      </c>
      <c r="D41" s="8">
        <v>2022</v>
      </c>
      <c r="E41" s="29">
        <v>4</v>
      </c>
      <c r="F41">
        <v>6</v>
      </c>
      <c r="G41">
        <v>256</v>
      </c>
      <c r="H41">
        <v>95</v>
      </c>
      <c r="I41">
        <v>64</v>
      </c>
      <c r="J41">
        <v>6.67</v>
      </c>
      <c r="K41" t="s">
        <v>66</v>
      </c>
      <c r="L41" t="s">
        <v>59</v>
      </c>
      <c r="M41" t="s">
        <v>60</v>
      </c>
      <c r="N41" t="s">
        <v>24</v>
      </c>
      <c r="O41" t="s">
        <v>34</v>
      </c>
      <c r="P41" t="s">
        <v>35</v>
      </c>
      <c r="Q41">
        <v>499</v>
      </c>
      <c r="R41">
        <v>466</v>
      </c>
    </row>
    <row r="42" spans="1:18">
      <c r="A42" t="s">
        <v>113</v>
      </c>
      <c r="B42" t="s">
        <v>89</v>
      </c>
      <c r="C42" t="s">
        <v>90</v>
      </c>
      <c r="D42" s="8">
        <v>2022</v>
      </c>
      <c r="E42" s="29">
        <v>4</v>
      </c>
      <c r="F42">
        <v>12</v>
      </c>
      <c r="G42">
        <v>64</v>
      </c>
      <c r="H42">
        <v>89</v>
      </c>
      <c r="I42">
        <v>108</v>
      </c>
      <c r="J42">
        <v>6.4</v>
      </c>
      <c r="K42" t="s">
        <v>91</v>
      </c>
      <c r="L42" t="s">
        <v>22</v>
      </c>
      <c r="M42" t="s">
        <v>32</v>
      </c>
      <c r="N42" t="s">
        <v>24</v>
      </c>
      <c r="O42" t="s">
        <v>52</v>
      </c>
      <c r="P42" t="s">
        <v>26</v>
      </c>
      <c r="Q42">
        <v>449</v>
      </c>
      <c r="R42">
        <v>323</v>
      </c>
    </row>
    <row r="43" spans="1:18">
      <c r="A43" t="s">
        <v>114</v>
      </c>
      <c r="B43" t="s">
        <v>89</v>
      </c>
      <c r="C43" t="s">
        <v>115</v>
      </c>
      <c r="D43" s="8">
        <v>2024</v>
      </c>
      <c r="E43" s="29">
        <v>2</v>
      </c>
      <c r="F43">
        <v>8</v>
      </c>
      <c r="G43">
        <v>128</v>
      </c>
      <c r="H43">
        <v>86</v>
      </c>
      <c r="I43">
        <v>64</v>
      </c>
      <c r="J43">
        <v>6.2</v>
      </c>
      <c r="K43" t="s">
        <v>116</v>
      </c>
      <c r="L43" t="s">
        <v>59</v>
      </c>
      <c r="M43" t="s">
        <v>60</v>
      </c>
      <c r="N43" t="s">
        <v>24</v>
      </c>
      <c r="O43" t="s">
        <v>41</v>
      </c>
      <c r="P43" t="s">
        <v>26</v>
      </c>
      <c r="Q43">
        <v>999</v>
      </c>
      <c r="R43">
        <v>822</v>
      </c>
    </row>
    <row r="44" spans="1:18">
      <c r="A44" t="s">
        <v>117</v>
      </c>
      <c r="B44" t="s">
        <v>44</v>
      </c>
      <c r="C44" t="s">
        <v>45</v>
      </c>
      <c r="D44" s="8">
        <v>2020</v>
      </c>
      <c r="E44" s="29">
        <v>6</v>
      </c>
      <c r="F44">
        <v>12</v>
      </c>
      <c r="G44">
        <v>256</v>
      </c>
      <c r="H44">
        <v>93</v>
      </c>
      <c r="I44">
        <v>64</v>
      </c>
      <c r="J44">
        <v>6.1</v>
      </c>
      <c r="K44" t="s">
        <v>46</v>
      </c>
      <c r="L44" t="s">
        <v>57</v>
      </c>
      <c r="M44" t="s">
        <v>32</v>
      </c>
      <c r="N44" t="s">
        <v>24</v>
      </c>
      <c r="O44" t="s">
        <v>52</v>
      </c>
      <c r="P44" t="s">
        <v>35</v>
      </c>
      <c r="Q44">
        <v>799</v>
      </c>
      <c r="R44">
        <v>451</v>
      </c>
    </row>
    <row r="45" spans="1:18">
      <c r="A45" t="s">
        <v>118</v>
      </c>
      <c r="B45" t="s">
        <v>64</v>
      </c>
      <c r="C45" t="s">
        <v>65</v>
      </c>
      <c r="D45" s="8">
        <v>2021</v>
      </c>
      <c r="E45" s="29">
        <v>5</v>
      </c>
      <c r="F45">
        <v>6</v>
      </c>
      <c r="G45">
        <v>256</v>
      </c>
      <c r="H45">
        <v>83</v>
      </c>
      <c r="I45">
        <v>108</v>
      </c>
      <c r="J45">
        <v>6.4</v>
      </c>
      <c r="K45" t="s">
        <v>66</v>
      </c>
      <c r="L45" t="s">
        <v>22</v>
      </c>
      <c r="M45" t="s">
        <v>32</v>
      </c>
      <c r="N45" t="s">
        <v>24</v>
      </c>
      <c r="O45" t="s">
        <v>87</v>
      </c>
      <c r="P45" t="s">
        <v>35</v>
      </c>
      <c r="Q45">
        <v>499</v>
      </c>
      <c r="R45">
        <v>382</v>
      </c>
    </row>
    <row r="46" spans="1:18">
      <c r="A46" t="s">
        <v>119</v>
      </c>
      <c r="B46" t="s">
        <v>68</v>
      </c>
      <c r="C46" t="s">
        <v>81</v>
      </c>
      <c r="D46" s="8">
        <v>2022</v>
      </c>
      <c r="E46" s="29">
        <v>4</v>
      </c>
      <c r="F46">
        <v>4</v>
      </c>
      <c r="G46">
        <v>256</v>
      </c>
      <c r="H46">
        <v>93</v>
      </c>
      <c r="I46">
        <v>64</v>
      </c>
      <c r="J46">
        <v>6.5</v>
      </c>
      <c r="K46" t="s">
        <v>82</v>
      </c>
      <c r="L46" t="s">
        <v>22</v>
      </c>
      <c r="M46" t="s">
        <v>47</v>
      </c>
      <c r="N46" t="s">
        <v>24</v>
      </c>
      <c r="O46" t="s">
        <v>48</v>
      </c>
      <c r="P46" t="s">
        <v>35</v>
      </c>
      <c r="Q46">
        <v>299</v>
      </c>
      <c r="R46">
        <v>282</v>
      </c>
    </row>
    <row r="47" spans="1:18">
      <c r="A47" t="s">
        <v>120</v>
      </c>
      <c r="B47" t="s">
        <v>44</v>
      </c>
      <c r="C47" t="s">
        <v>45</v>
      </c>
      <c r="D47" s="8">
        <v>2020</v>
      </c>
      <c r="E47" s="29">
        <v>6</v>
      </c>
      <c r="F47">
        <v>8</v>
      </c>
      <c r="G47">
        <v>512</v>
      </c>
      <c r="H47">
        <v>78</v>
      </c>
      <c r="I47">
        <v>108</v>
      </c>
      <c r="J47">
        <v>6.5</v>
      </c>
      <c r="K47" t="s">
        <v>46</v>
      </c>
      <c r="L47" t="s">
        <v>22</v>
      </c>
      <c r="M47" t="s">
        <v>86</v>
      </c>
      <c r="N47" t="s">
        <v>24</v>
      </c>
      <c r="O47" t="s">
        <v>84</v>
      </c>
      <c r="P47" t="s">
        <v>35</v>
      </c>
      <c r="Q47">
        <v>799</v>
      </c>
      <c r="R47">
        <v>629</v>
      </c>
    </row>
    <row r="48" spans="1:18">
      <c r="A48" t="s">
        <v>121</v>
      </c>
      <c r="B48" t="s">
        <v>73</v>
      </c>
      <c r="C48" t="s">
        <v>122</v>
      </c>
      <c r="D48" s="8">
        <v>2023</v>
      </c>
      <c r="E48" s="29">
        <v>3</v>
      </c>
      <c r="F48">
        <v>6</v>
      </c>
      <c r="G48">
        <v>64</v>
      </c>
      <c r="H48">
        <v>94</v>
      </c>
      <c r="I48">
        <v>50</v>
      </c>
      <c r="J48">
        <v>6.4</v>
      </c>
      <c r="K48" t="s">
        <v>123</v>
      </c>
      <c r="L48" t="s">
        <v>22</v>
      </c>
      <c r="M48" t="s">
        <v>40</v>
      </c>
      <c r="N48" t="s">
        <v>24</v>
      </c>
      <c r="O48" t="s">
        <v>61</v>
      </c>
      <c r="P48" t="s">
        <v>26</v>
      </c>
      <c r="Q48">
        <v>699</v>
      </c>
      <c r="R48">
        <v>454</v>
      </c>
    </row>
    <row r="49" spans="1:18">
      <c r="A49" t="s">
        <v>124</v>
      </c>
      <c r="B49" t="s">
        <v>68</v>
      </c>
      <c r="C49" t="s">
        <v>69</v>
      </c>
      <c r="D49" s="8">
        <v>2024</v>
      </c>
      <c r="E49" s="29">
        <v>2</v>
      </c>
      <c r="F49">
        <v>8</v>
      </c>
      <c r="G49">
        <v>512</v>
      </c>
      <c r="H49">
        <v>76</v>
      </c>
      <c r="I49">
        <v>108</v>
      </c>
      <c r="J49">
        <v>6.7</v>
      </c>
      <c r="K49" t="s">
        <v>70</v>
      </c>
      <c r="L49" t="s">
        <v>59</v>
      </c>
      <c r="M49" t="s">
        <v>23</v>
      </c>
      <c r="N49" t="s">
        <v>24</v>
      </c>
      <c r="O49" t="s">
        <v>48</v>
      </c>
      <c r="P49" t="s">
        <v>26</v>
      </c>
      <c r="Q49">
        <v>399</v>
      </c>
      <c r="R49">
        <v>389</v>
      </c>
    </row>
    <row r="50" spans="1:18">
      <c r="A50" t="s">
        <v>125</v>
      </c>
      <c r="B50" t="s">
        <v>54</v>
      </c>
      <c r="C50" t="s">
        <v>55</v>
      </c>
      <c r="D50" s="8">
        <v>2020</v>
      </c>
      <c r="E50" s="29">
        <v>6</v>
      </c>
      <c r="F50">
        <v>4</v>
      </c>
      <c r="G50">
        <v>512</v>
      </c>
      <c r="H50">
        <v>93</v>
      </c>
      <c r="I50">
        <v>50</v>
      </c>
      <c r="J50">
        <v>6.78</v>
      </c>
      <c r="K50" t="s">
        <v>56</v>
      </c>
      <c r="L50" t="s">
        <v>59</v>
      </c>
      <c r="M50" t="s">
        <v>40</v>
      </c>
      <c r="N50" t="s">
        <v>33</v>
      </c>
      <c r="O50" t="s">
        <v>87</v>
      </c>
      <c r="P50" t="s">
        <v>26</v>
      </c>
      <c r="Q50">
        <v>549</v>
      </c>
      <c r="R50">
        <v>539</v>
      </c>
    </row>
    <row r="51" spans="1:18">
      <c r="A51" t="s">
        <v>126</v>
      </c>
      <c r="B51" t="s">
        <v>28</v>
      </c>
      <c r="C51" t="s">
        <v>29</v>
      </c>
      <c r="D51" s="8">
        <v>2023</v>
      </c>
      <c r="E51" s="29">
        <v>3</v>
      </c>
      <c r="F51">
        <v>8</v>
      </c>
      <c r="G51">
        <v>128</v>
      </c>
      <c r="H51">
        <v>90</v>
      </c>
      <c r="I51">
        <v>50</v>
      </c>
      <c r="J51">
        <v>6.67</v>
      </c>
      <c r="K51" t="s">
        <v>30</v>
      </c>
      <c r="L51" t="s">
        <v>22</v>
      </c>
      <c r="M51" t="s">
        <v>60</v>
      </c>
      <c r="N51" t="s">
        <v>33</v>
      </c>
      <c r="O51" t="s">
        <v>34</v>
      </c>
      <c r="P51" t="s">
        <v>26</v>
      </c>
      <c r="Q51">
        <v>599</v>
      </c>
      <c r="R51">
        <v>433</v>
      </c>
    </row>
    <row r="52" spans="1:18">
      <c r="A52" t="s">
        <v>127</v>
      </c>
      <c r="B52" t="s">
        <v>64</v>
      </c>
      <c r="C52" t="s">
        <v>65</v>
      </c>
      <c r="D52" s="8">
        <v>2021</v>
      </c>
      <c r="E52" s="29">
        <v>5</v>
      </c>
      <c r="F52">
        <v>6</v>
      </c>
      <c r="G52">
        <v>128</v>
      </c>
      <c r="H52">
        <v>92</v>
      </c>
      <c r="I52">
        <v>48</v>
      </c>
      <c r="J52">
        <v>6.1</v>
      </c>
      <c r="K52" t="s">
        <v>66</v>
      </c>
      <c r="L52" t="s">
        <v>59</v>
      </c>
      <c r="M52" t="s">
        <v>60</v>
      </c>
      <c r="N52" t="s">
        <v>24</v>
      </c>
      <c r="O52" t="s">
        <v>41</v>
      </c>
      <c r="P52" t="s">
        <v>35</v>
      </c>
      <c r="Q52">
        <v>499</v>
      </c>
      <c r="R52">
        <v>447</v>
      </c>
    </row>
    <row r="53" spans="1:18">
      <c r="A53" t="s">
        <v>128</v>
      </c>
      <c r="B53" t="s">
        <v>54</v>
      </c>
      <c r="C53" t="s">
        <v>55</v>
      </c>
      <c r="D53" s="8">
        <v>2024</v>
      </c>
      <c r="E53" s="29">
        <v>2</v>
      </c>
      <c r="F53">
        <v>12</v>
      </c>
      <c r="G53">
        <v>256</v>
      </c>
      <c r="H53">
        <v>76</v>
      </c>
      <c r="I53">
        <v>48</v>
      </c>
      <c r="J53">
        <v>6.2</v>
      </c>
      <c r="K53" t="s">
        <v>56</v>
      </c>
      <c r="L53" t="s">
        <v>22</v>
      </c>
      <c r="M53" t="s">
        <v>23</v>
      </c>
      <c r="N53" t="s">
        <v>24</v>
      </c>
      <c r="O53" t="s">
        <v>41</v>
      </c>
      <c r="P53" t="s">
        <v>26</v>
      </c>
      <c r="Q53">
        <v>549</v>
      </c>
      <c r="R53">
        <v>433</v>
      </c>
    </row>
    <row r="54" spans="1:18">
      <c r="A54" t="s">
        <v>129</v>
      </c>
      <c r="B54" t="s">
        <v>68</v>
      </c>
      <c r="C54" t="s">
        <v>81</v>
      </c>
      <c r="D54" s="8">
        <v>2022</v>
      </c>
      <c r="E54" s="29">
        <v>4</v>
      </c>
      <c r="F54">
        <v>12</v>
      </c>
      <c r="G54">
        <v>128</v>
      </c>
      <c r="H54">
        <v>82</v>
      </c>
      <c r="I54">
        <v>64</v>
      </c>
      <c r="J54">
        <v>6.78</v>
      </c>
      <c r="K54" t="s">
        <v>82</v>
      </c>
      <c r="L54" t="s">
        <v>22</v>
      </c>
      <c r="M54" t="s">
        <v>86</v>
      </c>
      <c r="N54" t="s">
        <v>33</v>
      </c>
      <c r="O54" t="s">
        <v>34</v>
      </c>
      <c r="P54" t="s">
        <v>35</v>
      </c>
      <c r="Q54">
        <v>299</v>
      </c>
      <c r="R54">
        <v>252</v>
      </c>
    </row>
    <row r="55" spans="1:18">
      <c r="A55" t="s">
        <v>130</v>
      </c>
      <c r="B55" t="s">
        <v>37</v>
      </c>
      <c r="C55" t="s">
        <v>38</v>
      </c>
      <c r="D55" s="8">
        <v>2022</v>
      </c>
      <c r="E55" s="29">
        <v>4</v>
      </c>
      <c r="F55">
        <v>4</v>
      </c>
      <c r="G55">
        <v>256</v>
      </c>
      <c r="H55">
        <v>80</v>
      </c>
      <c r="I55">
        <v>64</v>
      </c>
      <c r="J55">
        <v>6.5</v>
      </c>
      <c r="K55" t="s">
        <v>39</v>
      </c>
      <c r="L55" t="s">
        <v>31</v>
      </c>
      <c r="M55" t="s">
        <v>47</v>
      </c>
      <c r="N55" t="s">
        <v>33</v>
      </c>
      <c r="O55" t="s">
        <v>34</v>
      </c>
      <c r="P55" t="s">
        <v>35</v>
      </c>
      <c r="Q55">
        <v>599</v>
      </c>
      <c r="R55">
        <v>576</v>
      </c>
    </row>
    <row r="56" spans="1:18">
      <c r="A56" t="s">
        <v>131</v>
      </c>
      <c r="B56" t="s">
        <v>77</v>
      </c>
      <c r="C56" t="s">
        <v>78</v>
      </c>
      <c r="D56" s="8">
        <v>2021</v>
      </c>
      <c r="E56" s="29">
        <v>5</v>
      </c>
      <c r="F56">
        <v>6</v>
      </c>
      <c r="G56">
        <v>256</v>
      </c>
      <c r="H56">
        <v>76</v>
      </c>
      <c r="I56">
        <v>50</v>
      </c>
      <c r="J56">
        <v>6.5</v>
      </c>
      <c r="K56" t="s">
        <v>79</v>
      </c>
      <c r="L56" t="s">
        <v>22</v>
      </c>
      <c r="M56" t="s">
        <v>32</v>
      </c>
      <c r="N56" t="s">
        <v>24</v>
      </c>
      <c r="O56" t="s">
        <v>25</v>
      </c>
      <c r="P56" t="s">
        <v>26</v>
      </c>
      <c r="Q56">
        <v>699</v>
      </c>
      <c r="R56">
        <v>521</v>
      </c>
    </row>
    <row r="57" spans="1:18">
      <c r="A57" t="s">
        <v>132</v>
      </c>
      <c r="B57" t="s">
        <v>73</v>
      </c>
      <c r="C57" t="s">
        <v>105</v>
      </c>
      <c r="D57" s="8">
        <v>2024</v>
      </c>
      <c r="E57" s="29">
        <v>2</v>
      </c>
      <c r="F57">
        <v>6</v>
      </c>
      <c r="G57">
        <v>128</v>
      </c>
      <c r="H57">
        <v>85</v>
      </c>
      <c r="I57">
        <v>12</v>
      </c>
      <c r="J57">
        <v>6.7</v>
      </c>
      <c r="K57" t="s">
        <v>75</v>
      </c>
      <c r="L57" t="s">
        <v>57</v>
      </c>
      <c r="M57" t="s">
        <v>86</v>
      </c>
      <c r="N57" t="s">
        <v>24</v>
      </c>
      <c r="O57" t="s">
        <v>84</v>
      </c>
      <c r="P57" t="s">
        <v>35</v>
      </c>
      <c r="Q57">
        <v>899</v>
      </c>
      <c r="R57">
        <v>492</v>
      </c>
    </row>
    <row r="58" spans="1:18">
      <c r="A58" t="s">
        <v>133</v>
      </c>
      <c r="B58" t="s">
        <v>73</v>
      </c>
      <c r="C58" t="s">
        <v>74</v>
      </c>
      <c r="D58" s="8">
        <v>2021</v>
      </c>
      <c r="E58" s="29">
        <v>5</v>
      </c>
      <c r="F58">
        <v>12</v>
      </c>
      <c r="G58">
        <v>512</v>
      </c>
      <c r="H58">
        <v>89</v>
      </c>
      <c r="I58">
        <v>12</v>
      </c>
      <c r="J58">
        <v>6.67</v>
      </c>
      <c r="K58" t="s">
        <v>75</v>
      </c>
      <c r="L58" t="s">
        <v>59</v>
      </c>
      <c r="M58" t="s">
        <v>23</v>
      </c>
      <c r="N58" t="s">
        <v>33</v>
      </c>
      <c r="O58" t="s">
        <v>48</v>
      </c>
      <c r="P58" t="s">
        <v>26</v>
      </c>
      <c r="Q58">
        <v>799</v>
      </c>
      <c r="R58">
        <v>750</v>
      </c>
    </row>
    <row r="59" spans="1:18">
      <c r="A59" t="s">
        <v>134</v>
      </c>
      <c r="B59" t="s">
        <v>68</v>
      </c>
      <c r="C59" t="s">
        <v>81</v>
      </c>
      <c r="D59" s="8">
        <v>2020</v>
      </c>
      <c r="E59" s="29">
        <v>6</v>
      </c>
      <c r="F59">
        <v>6</v>
      </c>
      <c r="G59">
        <v>256</v>
      </c>
      <c r="H59">
        <v>88</v>
      </c>
      <c r="I59">
        <v>64</v>
      </c>
      <c r="J59">
        <v>6.67</v>
      </c>
      <c r="K59" t="s">
        <v>82</v>
      </c>
      <c r="L59" t="s">
        <v>59</v>
      </c>
      <c r="M59" t="s">
        <v>40</v>
      </c>
      <c r="N59" t="s">
        <v>33</v>
      </c>
      <c r="O59" t="s">
        <v>52</v>
      </c>
      <c r="P59" t="s">
        <v>26</v>
      </c>
      <c r="Q59">
        <v>299</v>
      </c>
      <c r="R59">
        <v>289</v>
      </c>
    </row>
    <row r="60" spans="1:18">
      <c r="A60" t="s">
        <v>135</v>
      </c>
      <c r="B60" t="s">
        <v>68</v>
      </c>
      <c r="C60" t="s">
        <v>69</v>
      </c>
      <c r="D60" s="8">
        <v>2023</v>
      </c>
      <c r="E60" s="29">
        <v>3</v>
      </c>
      <c r="F60">
        <v>4</v>
      </c>
      <c r="G60">
        <v>128</v>
      </c>
      <c r="H60">
        <v>95</v>
      </c>
      <c r="I60">
        <v>64</v>
      </c>
      <c r="J60">
        <v>6.1</v>
      </c>
      <c r="K60" t="s">
        <v>70</v>
      </c>
      <c r="L60" t="s">
        <v>31</v>
      </c>
      <c r="M60" t="s">
        <v>23</v>
      </c>
      <c r="N60" t="s">
        <v>24</v>
      </c>
      <c r="O60" t="s">
        <v>84</v>
      </c>
      <c r="P60" t="s">
        <v>26</v>
      </c>
      <c r="Q60">
        <v>399</v>
      </c>
      <c r="R60">
        <v>389</v>
      </c>
    </row>
    <row r="61" spans="1:18">
      <c r="A61" t="s">
        <v>136</v>
      </c>
      <c r="B61" t="s">
        <v>19</v>
      </c>
      <c r="C61" t="s">
        <v>20</v>
      </c>
      <c r="D61" s="8">
        <v>2024</v>
      </c>
      <c r="E61" s="29">
        <v>2</v>
      </c>
      <c r="F61">
        <v>12</v>
      </c>
      <c r="G61">
        <v>64</v>
      </c>
      <c r="H61">
        <v>99</v>
      </c>
      <c r="I61">
        <v>64</v>
      </c>
      <c r="J61">
        <v>6.7</v>
      </c>
      <c r="K61" t="s">
        <v>21</v>
      </c>
      <c r="L61" t="s">
        <v>59</v>
      </c>
      <c r="M61" t="s">
        <v>86</v>
      </c>
      <c r="N61" t="s">
        <v>33</v>
      </c>
      <c r="O61" t="s">
        <v>41</v>
      </c>
      <c r="P61" t="s">
        <v>35</v>
      </c>
      <c r="Q61">
        <v>599</v>
      </c>
      <c r="R61">
        <v>497</v>
      </c>
    </row>
    <row r="62" spans="1:18">
      <c r="A62" t="s">
        <v>137</v>
      </c>
      <c r="B62" t="s">
        <v>54</v>
      </c>
      <c r="C62" t="s">
        <v>55</v>
      </c>
      <c r="D62" s="8">
        <v>2023</v>
      </c>
      <c r="E62" s="29">
        <v>3</v>
      </c>
      <c r="F62">
        <v>4</v>
      </c>
      <c r="G62">
        <v>512</v>
      </c>
      <c r="H62">
        <v>80</v>
      </c>
      <c r="I62">
        <v>50</v>
      </c>
      <c r="J62">
        <v>6.2</v>
      </c>
      <c r="K62" t="s">
        <v>56</v>
      </c>
      <c r="L62" t="s">
        <v>59</v>
      </c>
      <c r="M62" t="s">
        <v>40</v>
      </c>
      <c r="N62" t="s">
        <v>24</v>
      </c>
      <c r="O62" t="s">
        <v>87</v>
      </c>
      <c r="P62" t="s">
        <v>35</v>
      </c>
      <c r="Q62">
        <v>549</v>
      </c>
      <c r="R62">
        <v>529</v>
      </c>
    </row>
    <row r="63" spans="1:18">
      <c r="A63" t="s">
        <v>138</v>
      </c>
      <c r="B63" t="s">
        <v>89</v>
      </c>
      <c r="C63" t="s">
        <v>115</v>
      </c>
      <c r="D63" s="8">
        <v>2022</v>
      </c>
      <c r="E63" s="29">
        <v>4</v>
      </c>
      <c r="F63">
        <v>4</v>
      </c>
      <c r="G63">
        <v>256</v>
      </c>
      <c r="H63">
        <v>94</v>
      </c>
      <c r="I63">
        <v>64</v>
      </c>
      <c r="J63">
        <v>6.78</v>
      </c>
      <c r="K63" t="s">
        <v>116</v>
      </c>
      <c r="L63" t="s">
        <v>31</v>
      </c>
      <c r="M63" t="s">
        <v>47</v>
      </c>
      <c r="N63" t="s">
        <v>24</v>
      </c>
      <c r="O63" t="s">
        <v>52</v>
      </c>
      <c r="P63" t="s">
        <v>26</v>
      </c>
      <c r="Q63">
        <v>999</v>
      </c>
      <c r="R63">
        <v>909</v>
      </c>
    </row>
    <row r="64" spans="1:18">
      <c r="A64" t="s">
        <v>139</v>
      </c>
      <c r="B64" t="s">
        <v>28</v>
      </c>
      <c r="C64" t="s">
        <v>29</v>
      </c>
      <c r="D64" s="8">
        <v>2022</v>
      </c>
      <c r="E64" s="29">
        <v>4</v>
      </c>
      <c r="F64">
        <v>12</v>
      </c>
      <c r="G64">
        <v>256</v>
      </c>
      <c r="H64">
        <v>80</v>
      </c>
      <c r="I64">
        <v>48</v>
      </c>
      <c r="J64">
        <v>6.67</v>
      </c>
      <c r="K64" t="s">
        <v>30</v>
      </c>
      <c r="L64" t="s">
        <v>22</v>
      </c>
      <c r="M64" t="s">
        <v>40</v>
      </c>
      <c r="N64" t="s">
        <v>33</v>
      </c>
      <c r="O64" t="s">
        <v>84</v>
      </c>
      <c r="P64" t="s">
        <v>35</v>
      </c>
      <c r="Q64">
        <v>599</v>
      </c>
      <c r="R64">
        <v>462</v>
      </c>
    </row>
    <row r="65" spans="1:18">
      <c r="A65" t="s">
        <v>140</v>
      </c>
      <c r="B65" t="s">
        <v>68</v>
      </c>
      <c r="C65" t="s">
        <v>69</v>
      </c>
      <c r="D65" s="8">
        <v>2022</v>
      </c>
      <c r="E65" s="29">
        <v>4</v>
      </c>
      <c r="F65">
        <v>8</v>
      </c>
      <c r="G65">
        <v>64</v>
      </c>
      <c r="H65">
        <v>78</v>
      </c>
      <c r="I65">
        <v>12</v>
      </c>
      <c r="J65">
        <v>6.4</v>
      </c>
      <c r="K65" t="s">
        <v>70</v>
      </c>
      <c r="L65" t="s">
        <v>22</v>
      </c>
      <c r="M65" t="s">
        <v>23</v>
      </c>
      <c r="N65" t="s">
        <v>33</v>
      </c>
      <c r="O65" t="s">
        <v>52</v>
      </c>
      <c r="P65" t="s">
        <v>26</v>
      </c>
      <c r="Q65">
        <v>399</v>
      </c>
      <c r="R65">
        <v>305</v>
      </c>
    </row>
    <row r="66" spans="1:18">
      <c r="A66" t="s">
        <v>141</v>
      </c>
      <c r="B66" t="s">
        <v>28</v>
      </c>
      <c r="C66" t="s">
        <v>29</v>
      </c>
      <c r="D66" s="8">
        <v>2021</v>
      </c>
      <c r="E66" s="29">
        <v>5</v>
      </c>
      <c r="F66">
        <v>4</v>
      </c>
      <c r="G66">
        <v>128</v>
      </c>
      <c r="H66">
        <v>87</v>
      </c>
      <c r="I66">
        <v>48</v>
      </c>
      <c r="J66">
        <v>6.7</v>
      </c>
      <c r="K66" t="s">
        <v>30</v>
      </c>
      <c r="L66" t="s">
        <v>31</v>
      </c>
      <c r="M66" t="s">
        <v>23</v>
      </c>
      <c r="N66" t="s">
        <v>33</v>
      </c>
      <c r="O66" t="s">
        <v>34</v>
      </c>
      <c r="P66" t="s">
        <v>35</v>
      </c>
      <c r="Q66">
        <v>599</v>
      </c>
      <c r="R66">
        <v>575</v>
      </c>
    </row>
    <row r="67" spans="1:18">
      <c r="A67" t="s">
        <v>142</v>
      </c>
      <c r="B67" t="s">
        <v>68</v>
      </c>
      <c r="C67" t="s">
        <v>81</v>
      </c>
      <c r="D67" s="8">
        <v>2022</v>
      </c>
      <c r="E67" s="29">
        <v>4</v>
      </c>
      <c r="F67">
        <v>6</v>
      </c>
      <c r="G67">
        <v>64</v>
      </c>
      <c r="H67">
        <v>97</v>
      </c>
      <c r="I67">
        <v>50</v>
      </c>
      <c r="J67">
        <v>6.7</v>
      </c>
      <c r="K67" t="s">
        <v>82</v>
      </c>
      <c r="L67" t="s">
        <v>22</v>
      </c>
      <c r="M67" t="s">
        <v>32</v>
      </c>
      <c r="N67" t="s">
        <v>24</v>
      </c>
      <c r="O67" t="s">
        <v>34</v>
      </c>
      <c r="P67" t="s">
        <v>35</v>
      </c>
      <c r="Q67">
        <v>299</v>
      </c>
      <c r="R67">
        <v>262</v>
      </c>
    </row>
    <row r="68" spans="1:18">
      <c r="A68" t="s">
        <v>143</v>
      </c>
      <c r="B68" t="s">
        <v>89</v>
      </c>
      <c r="C68" t="s">
        <v>90</v>
      </c>
      <c r="D68" s="8">
        <v>2021</v>
      </c>
      <c r="E68" s="29">
        <v>5</v>
      </c>
      <c r="F68">
        <v>8</v>
      </c>
      <c r="G68">
        <v>64</v>
      </c>
      <c r="H68">
        <v>100</v>
      </c>
      <c r="I68">
        <v>108</v>
      </c>
      <c r="J68">
        <v>6.5</v>
      </c>
      <c r="K68" t="s">
        <v>91</v>
      </c>
      <c r="L68" t="s">
        <v>31</v>
      </c>
      <c r="M68" t="s">
        <v>40</v>
      </c>
      <c r="N68" t="s">
        <v>33</v>
      </c>
      <c r="O68" t="s">
        <v>41</v>
      </c>
      <c r="P68" t="s">
        <v>26</v>
      </c>
      <c r="Q68">
        <v>449</v>
      </c>
      <c r="R68">
        <v>431</v>
      </c>
    </row>
    <row r="69" spans="1:18">
      <c r="A69" t="s">
        <v>144</v>
      </c>
      <c r="B69" t="s">
        <v>28</v>
      </c>
      <c r="C69" t="s">
        <v>29</v>
      </c>
      <c r="D69" s="8">
        <v>2022</v>
      </c>
      <c r="E69" s="29">
        <v>4</v>
      </c>
      <c r="F69">
        <v>6</v>
      </c>
      <c r="G69">
        <v>256</v>
      </c>
      <c r="H69">
        <v>99</v>
      </c>
      <c r="I69">
        <v>64</v>
      </c>
      <c r="J69">
        <v>6.5</v>
      </c>
      <c r="K69" t="s">
        <v>30</v>
      </c>
      <c r="L69" t="s">
        <v>59</v>
      </c>
      <c r="M69" t="s">
        <v>40</v>
      </c>
      <c r="N69" t="s">
        <v>24</v>
      </c>
      <c r="O69" t="s">
        <v>34</v>
      </c>
      <c r="P69" t="s">
        <v>35</v>
      </c>
      <c r="Q69">
        <v>599</v>
      </c>
      <c r="R69">
        <v>560</v>
      </c>
    </row>
    <row r="70" spans="1:18">
      <c r="A70" t="s">
        <v>145</v>
      </c>
      <c r="B70" t="s">
        <v>44</v>
      </c>
      <c r="C70" t="s">
        <v>45</v>
      </c>
      <c r="D70" s="8">
        <v>2022</v>
      </c>
      <c r="E70" s="29">
        <v>4</v>
      </c>
      <c r="F70">
        <v>6</v>
      </c>
      <c r="G70">
        <v>64</v>
      </c>
      <c r="H70">
        <v>96</v>
      </c>
      <c r="I70">
        <v>50</v>
      </c>
      <c r="J70">
        <v>6.5</v>
      </c>
      <c r="K70" t="s">
        <v>46</v>
      </c>
      <c r="L70" t="s">
        <v>59</v>
      </c>
      <c r="M70" t="s">
        <v>32</v>
      </c>
      <c r="N70" t="s">
        <v>33</v>
      </c>
      <c r="O70" t="s">
        <v>25</v>
      </c>
      <c r="P70" t="s">
        <v>26</v>
      </c>
      <c r="Q70">
        <v>799</v>
      </c>
      <c r="R70">
        <v>620</v>
      </c>
    </row>
    <row r="71" spans="1:18">
      <c r="A71" t="s">
        <v>146</v>
      </c>
      <c r="B71" t="s">
        <v>28</v>
      </c>
      <c r="C71" t="s">
        <v>29</v>
      </c>
      <c r="D71" s="8">
        <v>2022</v>
      </c>
      <c r="E71" s="29">
        <v>4</v>
      </c>
      <c r="F71">
        <v>4</v>
      </c>
      <c r="G71">
        <v>128</v>
      </c>
      <c r="H71">
        <v>100</v>
      </c>
      <c r="I71">
        <v>48</v>
      </c>
      <c r="J71">
        <v>6.5</v>
      </c>
      <c r="K71" t="s">
        <v>30</v>
      </c>
      <c r="L71" t="s">
        <v>59</v>
      </c>
      <c r="M71" t="s">
        <v>40</v>
      </c>
      <c r="N71" t="s">
        <v>24</v>
      </c>
      <c r="O71" t="s">
        <v>34</v>
      </c>
      <c r="P71" t="s">
        <v>35</v>
      </c>
      <c r="Q71">
        <v>599</v>
      </c>
      <c r="R71">
        <v>533</v>
      </c>
    </row>
    <row r="72" spans="1:18">
      <c r="A72" t="s">
        <v>147</v>
      </c>
      <c r="B72" t="s">
        <v>44</v>
      </c>
      <c r="C72" t="s">
        <v>45</v>
      </c>
      <c r="D72" s="8">
        <v>2021</v>
      </c>
      <c r="E72" s="29">
        <v>5</v>
      </c>
      <c r="F72">
        <v>4</v>
      </c>
      <c r="G72">
        <v>64</v>
      </c>
      <c r="H72">
        <v>98</v>
      </c>
      <c r="I72">
        <v>64</v>
      </c>
      <c r="J72">
        <v>6.78</v>
      </c>
      <c r="K72" t="s">
        <v>46</v>
      </c>
      <c r="L72" t="s">
        <v>22</v>
      </c>
      <c r="M72" t="s">
        <v>86</v>
      </c>
      <c r="N72" t="s">
        <v>33</v>
      </c>
      <c r="O72" t="s">
        <v>41</v>
      </c>
      <c r="P72" t="s">
        <v>35</v>
      </c>
      <c r="Q72">
        <v>799</v>
      </c>
      <c r="R72">
        <v>547</v>
      </c>
    </row>
    <row r="73" spans="1:18">
      <c r="A73" t="s">
        <v>148</v>
      </c>
      <c r="B73" t="s">
        <v>54</v>
      </c>
      <c r="C73" t="s">
        <v>55</v>
      </c>
      <c r="D73" s="8">
        <v>2022</v>
      </c>
      <c r="E73" s="29">
        <v>4</v>
      </c>
      <c r="F73">
        <v>8</v>
      </c>
      <c r="G73">
        <v>256</v>
      </c>
      <c r="H73">
        <v>83</v>
      </c>
      <c r="I73">
        <v>108</v>
      </c>
      <c r="J73">
        <v>6.4</v>
      </c>
      <c r="K73" t="s">
        <v>56</v>
      </c>
      <c r="L73" t="s">
        <v>59</v>
      </c>
      <c r="M73" t="s">
        <v>47</v>
      </c>
      <c r="N73" t="s">
        <v>33</v>
      </c>
      <c r="O73" t="s">
        <v>48</v>
      </c>
      <c r="P73" t="s">
        <v>35</v>
      </c>
      <c r="Q73">
        <v>549</v>
      </c>
      <c r="R73">
        <v>476</v>
      </c>
    </row>
    <row r="74" spans="1:18">
      <c r="A74" t="s">
        <v>149</v>
      </c>
      <c r="B74" t="s">
        <v>77</v>
      </c>
      <c r="C74" t="s">
        <v>78</v>
      </c>
      <c r="D74" s="8">
        <v>2022</v>
      </c>
      <c r="E74" s="29">
        <v>4</v>
      </c>
      <c r="F74">
        <v>12</v>
      </c>
      <c r="G74">
        <v>256</v>
      </c>
      <c r="H74">
        <v>99</v>
      </c>
      <c r="I74">
        <v>50</v>
      </c>
      <c r="J74">
        <v>6.78</v>
      </c>
      <c r="K74" t="s">
        <v>79</v>
      </c>
      <c r="L74" t="s">
        <v>59</v>
      </c>
      <c r="M74" t="s">
        <v>40</v>
      </c>
      <c r="N74" t="s">
        <v>24</v>
      </c>
      <c r="O74" t="s">
        <v>87</v>
      </c>
      <c r="P74" t="s">
        <v>35</v>
      </c>
      <c r="Q74">
        <v>699</v>
      </c>
      <c r="R74">
        <v>640</v>
      </c>
    </row>
    <row r="75" spans="1:18">
      <c r="A75" t="s">
        <v>150</v>
      </c>
      <c r="B75" t="s">
        <v>28</v>
      </c>
      <c r="C75" t="s">
        <v>29</v>
      </c>
      <c r="D75" s="8">
        <v>2024</v>
      </c>
      <c r="E75" s="29">
        <v>2</v>
      </c>
      <c r="F75">
        <v>12</v>
      </c>
      <c r="G75">
        <v>64</v>
      </c>
      <c r="H75">
        <v>92</v>
      </c>
      <c r="I75">
        <v>12</v>
      </c>
      <c r="J75">
        <v>6.78</v>
      </c>
      <c r="K75" t="s">
        <v>30</v>
      </c>
      <c r="L75" t="s">
        <v>31</v>
      </c>
      <c r="M75" t="s">
        <v>47</v>
      </c>
      <c r="N75" t="s">
        <v>24</v>
      </c>
      <c r="O75" t="s">
        <v>48</v>
      </c>
      <c r="P75" t="s">
        <v>35</v>
      </c>
      <c r="Q75">
        <v>599</v>
      </c>
      <c r="R75">
        <v>559</v>
      </c>
    </row>
    <row r="76" spans="1:18">
      <c r="A76" t="s">
        <v>151</v>
      </c>
      <c r="B76" t="s">
        <v>77</v>
      </c>
      <c r="C76" t="s">
        <v>78</v>
      </c>
      <c r="D76" s="8">
        <v>2022</v>
      </c>
      <c r="E76" s="29">
        <v>4</v>
      </c>
      <c r="F76">
        <v>8</v>
      </c>
      <c r="G76">
        <v>256</v>
      </c>
      <c r="H76">
        <v>80</v>
      </c>
      <c r="I76">
        <v>48</v>
      </c>
      <c r="J76">
        <v>6.2</v>
      </c>
      <c r="K76" t="s">
        <v>79</v>
      </c>
      <c r="L76" t="s">
        <v>59</v>
      </c>
      <c r="M76" t="s">
        <v>60</v>
      </c>
      <c r="N76" t="s">
        <v>33</v>
      </c>
      <c r="O76" t="s">
        <v>48</v>
      </c>
      <c r="P76" t="s">
        <v>26</v>
      </c>
      <c r="Q76">
        <v>699</v>
      </c>
      <c r="R76">
        <v>591</v>
      </c>
    </row>
    <row r="77" spans="1:18">
      <c r="A77" t="s">
        <v>152</v>
      </c>
      <c r="B77" t="s">
        <v>54</v>
      </c>
      <c r="C77" t="s">
        <v>55</v>
      </c>
      <c r="D77" s="8">
        <v>2021</v>
      </c>
      <c r="E77" s="29">
        <v>5</v>
      </c>
      <c r="F77">
        <v>12</v>
      </c>
      <c r="G77">
        <v>512</v>
      </c>
      <c r="H77">
        <v>86</v>
      </c>
      <c r="I77">
        <v>108</v>
      </c>
      <c r="J77">
        <v>6.67</v>
      </c>
      <c r="K77" t="s">
        <v>56</v>
      </c>
      <c r="L77" t="s">
        <v>22</v>
      </c>
      <c r="M77" t="s">
        <v>47</v>
      </c>
      <c r="N77" t="s">
        <v>24</v>
      </c>
      <c r="O77" t="s">
        <v>34</v>
      </c>
      <c r="P77" t="s">
        <v>26</v>
      </c>
      <c r="Q77">
        <v>549</v>
      </c>
      <c r="R77">
        <v>452</v>
      </c>
    </row>
    <row r="78" spans="1:18">
      <c r="A78" t="s">
        <v>153</v>
      </c>
      <c r="B78" t="s">
        <v>64</v>
      </c>
      <c r="C78" t="s">
        <v>65</v>
      </c>
      <c r="D78" s="8">
        <v>2021</v>
      </c>
      <c r="E78" s="29">
        <v>5</v>
      </c>
      <c r="F78">
        <v>8</v>
      </c>
      <c r="G78">
        <v>64</v>
      </c>
      <c r="H78">
        <v>91</v>
      </c>
      <c r="I78">
        <v>12</v>
      </c>
      <c r="J78">
        <v>6.2</v>
      </c>
      <c r="K78" t="s">
        <v>66</v>
      </c>
      <c r="L78" t="s">
        <v>22</v>
      </c>
      <c r="M78" t="s">
        <v>47</v>
      </c>
      <c r="N78" t="s">
        <v>24</v>
      </c>
      <c r="O78" t="s">
        <v>84</v>
      </c>
      <c r="P78" t="s">
        <v>35</v>
      </c>
      <c r="Q78">
        <v>499</v>
      </c>
      <c r="R78">
        <v>336</v>
      </c>
    </row>
    <row r="79" spans="1:18">
      <c r="A79" t="s">
        <v>154</v>
      </c>
      <c r="B79" t="s">
        <v>37</v>
      </c>
      <c r="C79" t="s">
        <v>38</v>
      </c>
      <c r="D79" s="8">
        <v>2021</v>
      </c>
      <c r="E79" s="29">
        <v>5</v>
      </c>
      <c r="F79">
        <v>12</v>
      </c>
      <c r="G79">
        <v>64</v>
      </c>
      <c r="H79">
        <v>92</v>
      </c>
      <c r="I79">
        <v>50</v>
      </c>
      <c r="J79">
        <v>6.1</v>
      </c>
      <c r="K79" t="s">
        <v>39</v>
      </c>
      <c r="L79" t="s">
        <v>59</v>
      </c>
      <c r="M79" t="s">
        <v>60</v>
      </c>
      <c r="N79" t="s">
        <v>24</v>
      </c>
      <c r="O79" t="s">
        <v>84</v>
      </c>
      <c r="P79" t="s">
        <v>26</v>
      </c>
      <c r="Q79">
        <v>599</v>
      </c>
      <c r="R79">
        <v>490</v>
      </c>
    </row>
    <row r="80" spans="1:18">
      <c r="A80" t="s">
        <v>155</v>
      </c>
      <c r="B80" t="s">
        <v>68</v>
      </c>
      <c r="C80" t="s">
        <v>69</v>
      </c>
      <c r="D80" s="8">
        <v>2022</v>
      </c>
      <c r="E80" s="29">
        <v>4</v>
      </c>
      <c r="F80">
        <v>8</v>
      </c>
      <c r="G80">
        <v>512</v>
      </c>
      <c r="H80">
        <v>89</v>
      </c>
      <c r="I80">
        <v>48</v>
      </c>
      <c r="J80">
        <v>6.7</v>
      </c>
      <c r="K80" t="s">
        <v>70</v>
      </c>
      <c r="L80" t="s">
        <v>22</v>
      </c>
      <c r="M80" t="s">
        <v>86</v>
      </c>
      <c r="N80" t="s">
        <v>24</v>
      </c>
      <c r="O80" t="s">
        <v>84</v>
      </c>
      <c r="P80" t="s">
        <v>26</v>
      </c>
      <c r="Q80">
        <v>399</v>
      </c>
      <c r="R80">
        <v>377</v>
      </c>
    </row>
    <row r="81" spans="1:18">
      <c r="A81" t="s">
        <v>156</v>
      </c>
      <c r="B81" t="s">
        <v>89</v>
      </c>
      <c r="C81" t="s">
        <v>115</v>
      </c>
      <c r="D81" s="8">
        <v>2022</v>
      </c>
      <c r="E81" s="29">
        <v>4</v>
      </c>
      <c r="F81">
        <v>12</v>
      </c>
      <c r="G81">
        <v>64</v>
      </c>
      <c r="H81">
        <v>81</v>
      </c>
      <c r="I81">
        <v>48</v>
      </c>
      <c r="J81">
        <v>6.2</v>
      </c>
      <c r="K81" t="s">
        <v>116</v>
      </c>
      <c r="L81" t="s">
        <v>31</v>
      </c>
      <c r="M81" t="s">
        <v>32</v>
      </c>
      <c r="N81" t="s">
        <v>33</v>
      </c>
      <c r="O81" t="s">
        <v>52</v>
      </c>
      <c r="P81" t="s">
        <v>26</v>
      </c>
      <c r="Q81">
        <v>999</v>
      </c>
      <c r="R81">
        <v>885</v>
      </c>
    </row>
    <row r="82" spans="1:18">
      <c r="A82" t="s">
        <v>157</v>
      </c>
      <c r="B82" t="s">
        <v>44</v>
      </c>
      <c r="C82" t="s">
        <v>45</v>
      </c>
      <c r="D82" s="8">
        <v>2023</v>
      </c>
      <c r="E82" s="29">
        <v>3</v>
      </c>
      <c r="F82">
        <v>12</v>
      </c>
      <c r="G82">
        <v>64</v>
      </c>
      <c r="H82">
        <v>95</v>
      </c>
      <c r="I82">
        <v>50</v>
      </c>
      <c r="J82">
        <v>6.4</v>
      </c>
      <c r="K82" t="s">
        <v>46</v>
      </c>
      <c r="L82" t="s">
        <v>57</v>
      </c>
      <c r="M82" t="s">
        <v>40</v>
      </c>
      <c r="N82" t="s">
        <v>24</v>
      </c>
      <c r="O82" t="s">
        <v>52</v>
      </c>
      <c r="P82" t="s">
        <v>26</v>
      </c>
      <c r="Q82">
        <v>799</v>
      </c>
      <c r="R82">
        <v>425</v>
      </c>
    </row>
    <row r="83" spans="1:18">
      <c r="A83" t="s">
        <v>158</v>
      </c>
      <c r="B83" t="s">
        <v>73</v>
      </c>
      <c r="C83" t="s">
        <v>74</v>
      </c>
      <c r="D83" s="8">
        <v>2024</v>
      </c>
      <c r="E83" s="29">
        <v>2</v>
      </c>
      <c r="F83">
        <v>12</v>
      </c>
      <c r="G83">
        <v>256</v>
      </c>
      <c r="H83">
        <v>92</v>
      </c>
      <c r="I83">
        <v>50</v>
      </c>
      <c r="J83">
        <v>6.1</v>
      </c>
      <c r="K83" t="s">
        <v>75</v>
      </c>
      <c r="L83" t="s">
        <v>31</v>
      </c>
      <c r="M83" t="s">
        <v>47</v>
      </c>
      <c r="N83" t="s">
        <v>24</v>
      </c>
      <c r="O83" t="s">
        <v>61</v>
      </c>
      <c r="P83" t="s">
        <v>35</v>
      </c>
      <c r="Q83">
        <v>799</v>
      </c>
      <c r="R83">
        <v>789</v>
      </c>
    </row>
    <row r="84" spans="1:18">
      <c r="A84" t="s">
        <v>159</v>
      </c>
      <c r="B84" t="s">
        <v>77</v>
      </c>
      <c r="C84" t="s">
        <v>78</v>
      </c>
      <c r="D84" s="8">
        <v>2020</v>
      </c>
      <c r="E84" s="29">
        <v>6</v>
      </c>
      <c r="F84">
        <v>4</v>
      </c>
      <c r="G84">
        <v>512</v>
      </c>
      <c r="H84">
        <v>89</v>
      </c>
      <c r="I84">
        <v>50</v>
      </c>
      <c r="J84">
        <v>6.7</v>
      </c>
      <c r="K84" t="s">
        <v>79</v>
      </c>
      <c r="L84" t="s">
        <v>57</v>
      </c>
      <c r="M84" t="s">
        <v>60</v>
      </c>
      <c r="N84" t="s">
        <v>33</v>
      </c>
      <c r="O84" t="s">
        <v>61</v>
      </c>
      <c r="P84" t="s">
        <v>26</v>
      </c>
      <c r="Q84">
        <v>699</v>
      </c>
      <c r="R84">
        <v>457</v>
      </c>
    </row>
    <row r="85" spans="1:18">
      <c r="A85" t="s">
        <v>160</v>
      </c>
      <c r="B85" t="s">
        <v>37</v>
      </c>
      <c r="C85" t="s">
        <v>38</v>
      </c>
      <c r="D85" s="8">
        <v>2021</v>
      </c>
      <c r="E85" s="29">
        <v>5</v>
      </c>
      <c r="F85">
        <v>6</v>
      </c>
      <c r="G85">
        <v>256</v>
      </c>
      <c r="H85">
        <v>85</v>
      </c>
      <c r="I85">
        <v>108</v>
      </c>
      <c r="J85">
        <v>6.2</v>
      </c>
      <c r="K85" t="s">
        <v>39</v>
      </c>
      <c r="L85" t="s">
        <v>59</v>
      </c>
      <c r="M85" t="s">
        <v>60</v>
      </c>
      <c r="N85" t="s">
        <v>24</v>
      </c>
      <c r="O85" t="s">
        <v>52</v>
      </c>
      <c r="P85" t="s">
        <v>35</v>
      </c>
      <c r="Q85">
        <v>599</v>
      </c>
      <c r="R85">
        <v>513</v>
      </c>
    </row>
    <row r="86" spans="1:18">
      <c r="A86" t="s">
        <v>161</v>
      </c>
      <c r="B86" t="s">
        <v>37</v>
      </c>
      <c r="C86" t="s">
        <v>38</v>
      </c>
      <c r="D86" s="8">
        <v>2020</v>
      </c>
      <c r="E86" s="29">
        <v>6</v>
      </c>
      <c r="F86">
        <v>8</v>
      </c>
      <c r="G86">
        <v>256</v>
      </c>
      <c r="H86">
        <v>77</v>
      </c>
      <c r="I86">
        <v>50</v>
      </c>
      <c r="J86">
        <v>6.78</v>
      </c>
      <c r="K86" t="s">
        <v>39</v>
      </c>
      <c r="L86" t="s">
        <v>22</v>
      </c>
      <c r="M86" t="s">
        <v>86</v>
      </c>
      <c r="N86" t="s">
        <v>24</v>
      </c>
      <c r="O86" t="s">
        <v>61</v>
      </c>
      <c r="P86" t="s">
        <v>35</v>
      </c>
      <c r="Q86">
        <v>599</v>
      </c>
      <c r="R86">
        <v>427</v>
      </c>
    </row>
    <row r="87" spans="1:18">
      <c r="A87" t="s">
        <v>162</v>
      </c>
      <c r="B87" t="s">
        <v>28</v>
      </c>
      <c r="C87" t="s">
        <v>29</v>
      </c>
      <c r="D87" s="8">
        <v>2021</v>
      </c>
      <c r="E87" s="29">
        <v>5</v>
      </c>
      <c r="F87">
        <v>6</v>
      </c>
      <c r="G87">
        <v>128</v>
      </c>
      <c r="H87">
        <v>79</v>
      </c>
      <c r="I87">
        <v>48</v>
      </c>
      <c r="J87">
        <v>6.78</v>
      </c>
      <c r="K87" t="s">
        <v>30</v>
      </c>
      <c r="L87" t="s">
        <v>59</v>
      </c>
      <c r="M87" t="s">
        <v>86</v>
      </c>
      <c r="N87" t="s">
        <v>33</v>
      </c>
      <c r="O87" t="s">
        <v>25</v>
      </c>
      <c r="P87" t="s">
        <v>35</v>
      </c>
      <c r="Q87">
        <v>599</v>
      </c>
      <c r="R87">
        <v>495</v>
      </c>
    </row>
    <row r="88" spans="1:18">
      <c r="A88" t="s">
        <v>163</v>
      </c>
      <c r="B88" t="s">
        <v>73</v>
      </c>
      <c r="C88" t="s">
        <v>105</v>
      </c>
      <c r="D88" s="8">
        <v>2023</v>
      </c>
      <c r="E88" s="29">
        <v>3</v>
      </c>
      <c r="F88">
        <v>4</v>
      </c>
      <c r="G88">
        <v>128</v>
      </c>
      <c r="H88">
        <v>80</v>
      </c>
      <c r="I88">
        <v>64</v>
      </c>
      <c r="J88">
        <v>6.2</v>
      </c>
      <c r="K88" t="s">
        <v>75</v>
      </c>
      <c r="L88" t="s">
        <v>59</v>
      </c>
      <c r="M88" t="s">
        <v>23</v>
      </c>
      <c r="N88" t="s">
        <v>33</v>
      </c>
      <c r="O88" t="s">
        <v>48</v>
      </c>
      <c r="P88" t="s">
        <v>26</v>
      </c>
      <c r="Q88">
        <v>899</v>
      </c>
      <c r="R88">
        <v>724</v>
      </c>
    </row>
    <row r="89" spans="1:18">
      <c r="A89" t="s">
        <v>164</v>
      </c>
      <c r="B89" t="s">
        <v>73</v>
      </c>
      <c r="C89" t="s">
        <v>74</v>
      </c>
      <c r="D89" s="8">
        <v>2023</v>
      </c>
      <c r="E89" s="29">
        <v>3</v>
      </c>
      <c r="F89">
        <v>8</v>
      </c>
      <c r="G89">
        <v>64</v>
      </c>
      <c r="H89">
        <v>95</v>
      </c>
      <c r="I89">
        <v>12</v>
      </c>
      <c r="J89">
        <v>6.1</v>
      </c>
      <c r="K89" t="s">
        <v>75</v>
      </c>
      <c r="L89" t="s">
        <v>57</v>
      </c>
      <c r="M89" t="s">
        <v>47</v>
      </c>
      <c r="N89" t="s">
        <v>33</v>
      </c>
      <c r="O89" t="s">
        <v>61</v>
      </c>
      <c r="P89" t="s">
        <v>35</v>
      </c>
      <c r="Q89">
        <v>799</v>
      </c>
      <c r="R89">
        <v>451</v>
      </c>
    </row>
    <row r="90" spans="1:18">
      <c r="A90" t="s">
        <v>165</v>
      </c>
      <c r="B90" t="s">
        <v>89</v>
      </c>
      <c r="C90" t="s">
        <v>90</v>
      </c>
      <c r="D90" s="8">
        <v>2020</v>
      </c>
      <c r="E90" s="29">
        <v>6</v>
      </c>
      <c r="F90">
        <v>12</v>
      </c>
      <c r="G90">
        <v>512</v>
      </c>
      <c r="H90">
        <v>81</v>
      </c>
      <c r="I90">
        <v>64</v>
      </c>
      <c r="J90">
        <v>6.2</v>
      </c>
      <c r="K90" t="s">
        <v>91</v>
      </c>
      <c r="L90" t="s">
        <v>59</v>
      </c>
      <c r="M90" t="s">
        <v>86</v>
      </c>
      <c r="N90" t="s">
        <v>33</v>
      </c>
      <c r="O90" t="s">
        <v>25</v>
      </c>
      <c r="P90" t="s">
        <v>26</v>
      </c>
      <c r="Q90">
        <v>449</v>
      </c>
      <c r="R90">
        <v>439</v>
      </c>
    </row>
    <row r="91" spans="1:18">
      <c r="A91" t="s">
        <v>166</v>
      </c>
      <c r="B91" t="s">
        <v>64</v>
      </c>
      <c r="C91" t="s">
        <v>65</v>
      </c>
      <c r="D91" s="8">
        <v>2024</v>
      </c>
      <c r="E91" s="29">
        <v>2</v>
      </c>
      <c r="F91">
        <v>6</v>
      </c>
      <c r="G91">
        <v>256</v>
      </c>
      <c r="H91">
        <v>76</v>
      </c>
      <c r="I91">
        <v>12</v>
      </c>
      <c r="J91">
        <v>6.4</v>
      </c>
      <c r="K91" t="s">
        <v>66</v>
      </c>
      <c r="L91" t="s">
        <v>57</v>
      </c>
      <c r="M91" t="s">
        <v>32</v>
      </c>
      <c r="N91" t="s">
        <v>33</v>
      </c>
      <c r="O91" t="s">
        <v>48</v>
      </c>
      <c r="P91" t="s">
        <v>35</v>
      </c>
      <c r="Q91">
        <v>499</v>
      </c>
      <c r="R91">
        <v>316</v>
      </c>
    </row>
    <row r="92" spans="1:18">
      <c r="A92" t="s">
        <v>167</v>
      </c>
      <c r="B92" t="s">
        <v>64</v>
      </c>
      <c r="C92" t="s">
        <v>65</v>
      </c>
      <c r="D92" s="8">
        <v>2022</v>
      </c>
      <c r="E92" s="29">
        <v>4</v>
      </c>
      <c r="F92">
        <v>6</v>
      </c>
      <c r="G92">
        <v>256</v>
      </c>
      <c r="H92">
        <v>83</v>
      </c>
      <c r="I92">
        <v>50</v>
      </c>
      <c r="J92">
        <v>6.7</v>
      </c>
      <c r="K92" t="s">
        <v>66</v>
      </c>
      <c r="L92" t="s">
        <v>59</v>
      </c>
      <c r="M92" t="s">
        <v>86</v>
      </c>
      <c r="N92" t="s">
        <v>33</v>
      </c>
      <c r="O92" t="s">
        <v>87</v>
      </c>
      <c r="P92" t="s">
        <v>26</v>
      </c>
      <c r="Q92">
        <v>499</v>
      </c>
      <c r="R92">
        <v>467</v>
      </c>
    </row>
    <row r="93" spans="1:18">
      <c r="A93" t="s">
        <v>168</v>
      </c>
      <c r="B93" t="s">
        <v>77</v>
      </c>
      <c r="C93" t="s">
        <v>78</v>
      </c>
      <c r="D93" s="8">
        <v>2022</v>
      </c>
      <c r="E93" s="29">
        <v>4</v>
      </c>
      <c r="F93">
        <v>12</v>
      </c>
      <c r="G93">
        <v>512</v>
      </c>
      <c r="H93">
        <v>75</v>
      </c>
      <c r="I93">
        <v>108</v>
      </c>
      <c r="J93">
        <v>6.5</v>
      </c>
      <c r="K93" t="s">
        <v>79</v>
      </c>
      <c r="L93" t="s">
        <v>22</v>
      </c>
      <c r="M93" t="s">
        <v>60</v>
      </c>
      <c r="N93" t="s">
        <v>24</v>
      </c>
      <c r="O93" t="s">
        <v>87</v>
      </c>
      <c r="P93" t="s">
        <v>35</v>
      </c>
      <c r="Q93">
        <v>699</v>
      </c>
      <c r="R93">
        <v>582</v>
      </c>
    </row>
    <row r="94" spans="1:18">
      <c r="A94" t="s">
        <v>169</v>
      </c>
      <c r="B94" t="s">
        <v>89</v>
      </c>
      <c r="C94" t="s">
        <v>90</v>
      </c>
      <c r="D94" s="8">
        <v>2021</v>
      </c>
      <c r="E94" s="29">
        <v>5</v>
      </c>
      <c r="F94">
        <v>4</v>
      </c>
      <c r="G94">
        <v>128</v>
      </c>
      <c r="H94">
        <v>92</v>
      </c>
      <c r="I94">
        <v>108</v>
      </c>
      <c r="J94">
        <v>6.4</v>
      </c>
      <c r="K94" t="s">
        <v>91</v>
      </c>
      <c r="L94" t="s">
        <v>57</v>
      </c>
      <c r="M94" t="s">
        <v>47</v>
      </c>
      <c r="N94" t="s">
        <v>24</v>
      </c>
      <c r="O94" t="s">
        <v>84</v>
      </c>
      <c r="P94" t="s">
        <v>26</v>
      </c>
      <c r="Q94">
        <v>449</v>
      </c>
      <c r="R94">
        <v>272</v>
      </c>
    </row>
    <row r="95" spans="1:18">
      <c r="A95" t="s">
        <v>170</v>
      </c>
      <c r="B95" t="s">
        <v>77</v>
      </c>
      <c r="C95" t="s">
        <v>78</v>
      </c>
      <c r="D95" s="8">
        <v>2024</v>
      </c>
      <c r="E95" s="29">
        <v>2</v>
      </c>
      <c r="F95">
        <v>8</v>
      </c>
      <c r="G95">
        <v>128</v>
      </c>
      <c r="H95">
        <v>91</v>
      </c>
      <c r="I95">
        <v>108</v>
      </c>
      <c r="J95">
        <v>6.2</v>
      </c>
      <c r="K95" t="s">
        <v>79</v>
      </c>
      <c r="L95" t="s">
        <v>22</v>
      </c>
      <c r="M95" t="s">
        <v>40</v>
      </c>
      <c r="N95" t="s">
        <v>33</v>
      </c>
      <c r="O95" t="s">
        <v>25</v>
      </c>
      <c r="P95" t="s">
        <v>35</v>
      </c>
      <c r="Q95">
        <v>699</v>
      </c>
      <c r="R95">
        <v>513</v>
      </c>
    </row>
    <row r="96" spans="1:18">
      <c r="A96" t="s">
        <v>171</v>
      </c>
      <c r="B96" t="s">
        <v>54</v>
      </c>
      <c r="C96" t="s">
        <v>55</v>
      </c>
      <c r="D96" s="8">
        <v>2022</v>
      </c>
      <c r="E96" s="29">
        <v>4</v>
      </c>
      <c r="F96">
        <v>4</v>
      </c>
      <c r="G96">
        <v>64</v>
      </c>
      <c r="H96">
        <v>85</v>
      </c>
      <c r="I96">
        <v>108</v>
      </c>
      <c r="J96">
        <v>6.1</v>
      </c>
      <c r="K96" t="s">
        <v>56</v>
      </c>
      <c r="L96" t="s">
        <v>31</v>
      </c>
      <c r="M96" t="s">
        <v>40</v>
      </c>
      <c r="N96" t="s">
        <v>24</v>
      </c>
      <c r="O96" t="s">
        <v>34</v>
      </c>
      <c r="P96" t="s">
        <v>26</v>
      </c>
      <c r="Q96">
        <v>549</v>
      </c>
      <c r="R96">
        <v>488</v>
      </c>
    </row>
    <row r="97" spans="1:18">
      <c r="A97" t="s">
        <v>172</v>
      </c>
      <c r="B97" t="s">
        <v>77</v>
      </c>
      <c r="C97" t="s">
        <v>78</v>
      </c>
      <c r="D97" s="8">
        <v>2020</v>
      </c>
      <c r="E97" s="29">
        <v>6</v>
      </c>
      <c r="F97">
        <v>12</v>
      </c>
      <c r="G97">
        <v>256</v>
      </c>
      <c r="H97">
        <v>83</v>
      </c>
      <c r="I97">
        <v>12</v>
      </c>
      <c r="J97">
        <v>6.67</v>
      </c>
      <c r="K97" t="s">
        <v>79</v>
      </c>
      <c r="L97" t="s">
        <v>31</v>
      </c>
      <c r="M97" t="s">
        <v>86</v>
      </c>
      <c r="N97" t="s">
        <v>24</v>
      </c>
      <c r="O97" t="s">
        <v>87</v>
      </c>
      <c r="P97" t="s">
        <v>35</v>
      </c>
      <c r="Q97">
        <v>699</v>
      </c>
      <c r="R97">
        <v>689</v>
      </c>
    </row>
    <row r="98" spans="1:18">
      <c r="A98" t="s">
        <v>173</v>
      </c>
      <c r="B98" t="s">
        <v>68</v>
      </c>
      <c r="C98" t="s">
        <v>69</v>
      </c>
      <c r="D98" s="8">
        <v>2021</v>
      </c>
      <c r="E98" s="29">
        <v>5</v>
      </c>
      <c r="F98">
        <v>4</v>
      </c>
      <c r="G98">
        <v>64</v>
      </c>
      <c r="H98">
        <v>99</v>
      </c>
      <c r="I98">
        <v>50</v>
      </c>
      <c r="J98">
        <v>6.67</v>
      </c>
      <c r="K98" t="s">
        <v>70</v>
      </c>
      <c r="L98" t="s">
        <v>31</v>
      </c>
      <c r="M98" t="s">
        <v>86</v>
      </c>
      <c r="N98" t="s">
        <v>24</v>
      </c>
      <c r="O98" t="s">
        <v>84</v>
      </c>
      <c r="P98" t="s">
        <v>26</v>
      </c>
      <c r="Q98">
        <v>399</v>
      </c>
      <c r="R98">
        <v>371</v>
      </c>
    </row>
    <row r="99" spans="1:18">
      <c r="A99" t="s">
        <v>174</v>
      </c>
      <c r="B99" t="s">
        <v>64</v>
      </c>
      <c r="C99" t="s">
        <v>65</v>
      </c>
      <c r="D99" s="8">
        <v>2020</v>
      </c>
      <c r="E99" s="29">
        <v>6</v>
      </c>
      <c r="F99">
        <v>4</v>
      </c>
      <c r="G99">
        <v>128</v>
      </c>
      <c r="H99">
        <v>80</v>
      </c>
      <c r="I99">
        <v>12</v>
      </c>
      <c r="J99">
        <v>6.67</v>
      </c>
      <c r="K99" t="s">
        <v>66</v>
      </c>
      <c r="L99" t="s">
        <v>22</v>
      </c>
      <c r="M99" t="s">
        <v>40</v>
      </c>
      <c r="N99" t="s">
        <v>33</v>
      </c>
      <c r="O99" t="s">
        <v>34</v>
      </c>
      <c r="P99" t="s">
        <v>26</v>
      </c>
      <c r="Q99">
        <v>499</v>
      </c>
      <c r="R99">
        <v>366</v>
      </c>
    </row>
    <row r="100" spans="1:18">
      <c r="A100" t="s">
        <v>175</v>
      </c>
      <c r="B100" t="s">
        <v>54</v>
      </c>
      <c r="C100" t="s">
        <v>55</v>
      </c>
      <c r="D100" s="8">
        <v>2021</v>
      </c>
      <c r="E100" s="29">
        <v>5</v>
      </c>
      <c r="F100">
        <v>6</v>
      </c>
      <c r="G100">
        <v>64</v>
      </c>
      <c r="H100">
        <v>99</v>
      </c>
      <c r="I100">
        <v>48</v>
      </c>
      <c r="J100">
        <v>6.78</v>
      </c>
      <c r="K100" t="s">
        <v>56</v>
      </c>
      <c r="L100" t="s">
        <v>59</v>
      </c>
      <c r="M100" t="s">
        <v>47</v>
      </c>
      <c r="N100" t="s">
        <v>24</v>
      </c>
      <c r="O100" t="s">
        <v>48</v>
      </c>
      <c r="P100" t="s">
        <v>26</v>
      </c>
      <c r="Q100">
        <v>549</v>
      </c>
      <c r="R100">
        <v>448</v>
      </c>
    </row>
    <row r="101" spans="1:18">
      <c r="A101" t="s">
        <v>176</v>
      </c>
      <c r="B101" t="s">
        <v>37</v>
      </c>
      <c r="C101" t="s">
        <v>38</v>
      </c>
      <c r="D101" s="8">
        <v>2024</v>
      </c>
      <c r="E101" s="29">
        <v>2</v>
      </c>
      <c r="F101">
        <v>12</v>
      </c>
      <c r="G101">
        <v>64</v>
      </c>
      <c r="H101">
        <v>92</v>
      </c>
      <c r="I101">
        <v>50</v>
      </c>
      <c r="J101">
        <v>6.78</v>
      </c>
      <c r="K101" t="s">
        <v>39</v>
      </c>
      <c r="L101" t="s">
        <v>22</v>
      </c>
      <c r="M101" t="s">
        <v>60</v>
      </c>
      <c r="N101" t="s">
        <v>24</v>
      </c>
      <c r="O101" t="s">
        <v>87</v>
      </c>
      <c r="P101" t="s">
        <v>26</v>
      </c>
      <c r="Q101">
        <v>599</v>
      </c>
      <c r="R101">
        <v>451</v>
      </c>
    </row>
    <row r="102" spans="1:18">
      <c r="A102" t="s">
        <v>177</v>
      </c>
      <c r="B102" t="s">
        <v>54</v>
      </c>
      <c r="C102" t="s">
        <v>55</v>
      </c>
      <c r="D102" s="8">
        <v>2023</v>
      </c>
      <c r="E102" s="29">
        <v>3</v>
      </c>
      <c r="F102">
        <v>8</v>
      </c>
      <c r="G102">
        <v>128</v>
      </c>
      <c r="H102">
        <v>78</v>
      </c>
      <c r="I102">
        <v>48</v>
      </c>
      <c r="J102">
        <v>6.2</v>
      </c>
      <c r="K102" t="s">
        <v>56</v>
      </c>
      <c r="L102" t="s">
        <v>59</v>
      </c>
      <c r="M102" t="s">
        <v>60</v>
      </c>
      <c r="N102" t="s">
        <v>33</v>
      </c>
      <c r="O102" t="s">
        <v>34</v>
      </c>
      <c r="P102" t="s">
        <v>26</v>
      </c>
      <c r="Q102">
        <v>549</v>
      </c>
      <c r="R102">
        <v>449</v>
      </c>
    </row>
    <row r="103" spans="1:18">
      <c r="A103" t="s">
        <v>178</v>
      </c>
      <c r="B103" t="s">
        <v>28</v>
      </c>
      <c r="C103" t="s">
        <v>29</v>
      </c>
      <c r="D103" s="8">
        <v>2021</v>
      </c>
      <c r="E103" s="29">
        <v>5</v>
      </c>
      <c r="F103">
        <v>6</v>
      </c>
      <c r="G103">
        <v>512</v>
      </c>
      <c r="H103">
        <v>84</v>
      </c>
      <c r="I103">
        <v>108</v>
      </c>
      <c r="J103">
        <v>6.7</v>
      </c>
      <c r="K103" t="s">
        <v>30</v>
      </c>
      <c r="L103" t="s">
        <v>31</v>
      </c>
      <c r="M103" t="s">
        <v>40</v>
      </c>
      <c r="N103" t="s">
        <v>33</v>
      </c>
      <c r="O103" t="s">
        <v>61</v>
      </c>
      <c r="P103" t="s">
        <v>35</v>
      </c>
      <c r="Q103">
        <v>599</v>
      </c>
      <c r="R103">
        <v>589</v>
      </c>
    </row>
    <row r="104" spans="1:18">
      <c r="A104" t="s">
        <v>179</v>
      </c>
      <c r="B104" t="s">
        <v>77</v>
      </c>
      <c r="C104" t="s">
        <v>78</v>
      </c>
      <c r="D104" s="8">
        <v>2021</v>
      </c>
      <c r="E104" s="29">
        <v>5</v>
      </c>
      <c r="F104">
        <v>12</v>
      </c>
      <c r="G104">
        <v>512</v>
      </c>
      <c r="H104">
        <v>98</v>
      </c>
      <c r="I104">
        <v>64</v>
      </c>
      <c r="J104">
        <v>6.2</v>
      </c>
      <c r="K104" t="s">
        <v>79</v>
      </c>
      <c r="L104" t="s">
        <v>59</v>
      </c>
      <c r="M104" t="s">
        <v>47</v>
      </c>
      <c r="N104" t="s">
        <v>24</v>
      </c>
      <c r="O104" t="s">
        <v>41</v>
      </c>
      <c r="P104" t="s">
        <v>26</v>
      </c>
      <c r="Q104">
        <v>699</v>
      </c>
      <c r="R104">
        <v>689</v>
      </c>
    </row>
    <row r="105" spans="1:18">
      <c r="A105" t="s">
        <v>180</v>
      </c>
      <c r="B105" t="s">
        <v>64</v>
      </c>
      <c r="C105" t="s">
        <v>65</v>
      </c>
      <c r="D105" s="8">
        <v>2023</v>
      </c>
      <c r="E105" s="29">
        <v>3</v>
      </c>
      <c r="F105">
        <v>4</v>
      </c>
      <c r="G105">
        <v>256</v>
      </c>
      <c r="H105">
        <v>76</v>
      </c>
      <c r="I105">
        <v>12</v>
      </c>
      <c r="J105">
        <v>6.7</v>
      </c>
      <c r="K105" t="s">
        <v>66</v>
      </c>
      <c r="L105" t="s">
        <v>31</v>
      </c>
      <c r="M105" t="s">
        <v>60</v>
      </c>
      <c r="N105" t="s">
        <v>24</v>
      </c>
      <c r="O105" t="s">
        <v>34</v>
      </c>
      <c r="P105" t="s">
        <v>35</v>
      </c>
      <c r="Q105">
        <v>499</v>
      </c>
      <c r="R105">
        <v>485</v>
      </c>
    </row>
    <row r="106" spans="1:18">
      <c r="A106" t="s">
        <v>181</v>
      </c>
      <c r="B106" t="s">
        <v>54</v>
      </c>
      <c r="C106" t="s">
        <v>55</v>
      </c>
      <c r="D106" s="8">
        <v>2020</v>
      </c>
      <c r="E106" s="29">
        <v>6</v>
      </c>
      <c r="F106">
        <v>12</v>
      </c>
      <c r="G106">
        <v>128</v>
      </c>
      <c r="H106">
        <v>97</v>
      </c>
      <c r="I106">
        <v>64</v>
      </c>
      <c r="J106">
        <v>6.5</v>
      </c>
      <c r="K106" t="s">
        <v>56</v>
      </c>
      <c r="L106" t="s">
        <v>57</v>
      </c>
      <c r="M106" t="s">
        <v>60</v>
      </c>
      <c r="N106" t="s">
        <v>33</v>
      </c>
      <c r="O106" t="s">
        <v>48</v>
      </c>
      <c r="P106" t="s">
        <v>35</v>
      </c>
      <c r="Q106">
        <v>549</v>
      </c>
      <c r="R106">
        <v>339</v>
      </c>
    </row>
    <row r="107" spans="1:18">
      <c r="A107" t="s">
        <v>182</v>
      </c>
      <c r="B107" t="s">
        <v>77</v>
      </c>
      <c r="C107" t="s">
        <v>78</v>
      </c>
      <c r="D107" s="8">
        <v>2024</v>
      </c>
      <c r="E107" s="29">
        <v>2</v>
      </c>
      <c r="F107">
        <v>12</v>
      </c>
      <c r="G107">
        <v>512</v>
      </c>
      <c r="H107">
        <v>83</v>
      </c>
      <c r="I107">
        <v>48</v>
      </c>
      <c r="J107">
        <v>6.1</v>
      </c>
      <c r="K107" t="s">
        <v>79</v>
      </c>
      <c r="L107" t="s">
        <v>57</v>
      </c>
      <c r="M107" t="s">
        <v>40</v>
      </c>
      <c r="N107" t="s">
        <v>33</v>
      </c>
      <c r="O107" t="s">
        <v>34</v>
      </c>
      <c r="P107" t="s">
        <v>26</v>
      </c>
      <c r="Q107">
        <v>699</v>
      </c>
      <c r="R107">
        <v>457</v>
      </c>
    </row>
    <row r="108" spans="1:18">
      <c r="A108" t="s">
        <v>183</v>
      </c>
      <c r="B108" t="s">
        <v>89</v>
      </c>
      <c r="C108" t="s">
        <v>90</v>
      </c>
      <c r="D108" s="8">
        <v>2024</v>
      </c>
      <c r="E108" s="29">
        <v>2</v>
      </c>
      <c r="F108">
        <v>12</v>
      </c>
      <c r="G108">
        <v>512</v>
      </c>
      <c r="H108">
        <v>87</v>
      </c>
      <c r="I108">
        <v>64</v>
      </c>
      <c r="J108">
        <v>6.67</v>
      </c>
      <c r="K108" t="s">
        <v>91</v>
      </c>
      <c r="L108" t="s">
        <v>22</v>
      </c>
      <c r="M108" t="s">
        <v>60</v>
      </c>
      <c r="N108" t="s">
        <v>24</v>
      </c>
      <c r="O108" t="s">
        <v>34</v>
      </c>
      <c r="P108" t="s">
        <v>35</v>
      </c>
      <c r="Q108">
        <v>449</v>
      </c>
      <c r="R108">
        <v>430</v>
      </c>
    </row>
    <row r="109" spans="1:18">
      <c r="A109" t="s">
        <v>184</v>
      </c>
      <c r="B109" t="s">
        <v>54</v>
      </c>
      <c r="C109" t="s">
        <v>55</v>
      </c>
      <c r="D109" s="8">
        <v>2024</v>
      </c>
      <c r="E109" s="29">
        <v>2</v>
      </c>
      <c r="F109">
        <v>8</v>
      </c>
      <c r="G109">
        <v>128</v>
      </c>
      <c r="H109">
        <v>79</v>
      </c>
      <c r="I109">
        <v>50</v>
      </c>
      <c r="J109">
        <v>6.78</v>
      </c>
      <c r="K109" t="s">
        <v>56</v>
      </c>
      <c r="L109" t="s">
        <v>59</v>
      </c>
      <c r="M109" t="s">
        <v>32</v>
      </c>
      <c r="N109" t="s">
        <v>24</v>
      </c>
      <c r="O109" t="s">
        <v>52</v>
      </c>
      <c r="P109" t="s">
        <v>35</v>
      </c>
      <c r="Q109">
        <v>549</v>
      </c>
      <c r="R109">
        <v>490</v>
      </c>
    </row>
    <row r="110" spans="1:18">
      <c r="A110" t="s">
        <v>185</v>
      </c>
      <c r="B110" t="s">
        <v>44</v>
      </c>
      <c r="C110" t="s">
        <v>45</v>
      </c>
      <c r="D110" s="8">
        <v>2020</v>
      </c>
      <c r="E110" s="29">
        <v>6</v>
      </c>
      <c r="F110">
        <v>6</v>
      </c>
      <c r="G110">
        <v>64</v>
      </c>
      <c r="H110">
        <v>97</v>
      </c>
      <c r="I110">
        <v>50</v>
      </c>
      <c r="J110">
        <v>6.1</v>
      </c>
      <c r="K110" t="s">
        <v>46</v>
      </c>
      <c r="L110" t="s">
        <v>59</v>
      </c>
      <c r="M110" t="s">
        <v>47</v>
      </c>
      <c r="N110" t="s">
        <v>33</v>
      </c>
      <c r="O110" t="s">
        <v>41</v>
      </c>
      <c r="P110" t="s">
        <v>35</v>
      </c>
      <c r="Q110">
        <v>799</v>
      </c>
      <c r="R110">
        <v>660</v>
      </c>
    </row>
    <row r="111" spans="1:18">
      <c r="A111" t="s">
        <v>186</v>
      </c>
      <c r="B111" t="s">
        <v>64</v>
      </c>
      <c r="C111" t="s">
        <v>65</v>
      </c>
      <c r="D111" s="8">
        <v>2022</v>
      </c>
      <c r="E111" s="29">
        <v>4</v>
      </c>
      <c r="F111">
        <v>8</v>
      </c>
      <c r="G111">
        <v>128</v>
      </c>
      <c r="H111">
        <v>90</v>
      </c>
      <c r="I111">
        <v>12</v>
      </c>
      <c r="J111">
        <v>6.67</v>
      </c>
      <c r="K111" t="s">
        <v>66</v>
      </c>
      <c r="L111" t="s">
        <v>22</v>
      </c>
      <c r="M111" t="s">
        <v>47</v>
      </c>
      <c r="N111" t="s">
        <v>33</v>
      </c>
      <c r="O111" t="s">
        <v>84</v>
      </c>
      <c r="P111" t="s">
        <v>35</v>
      </c>
      <c r="Q111">
        <v>499</v>
      </c>
      <c r="R111">
        <v>388</v>
      </c>
    </row>
    <row r="112" spans="1:18">
      <c r="A112" t="s">
        <v>187</v>
      </c>
      <c r="B112" t="s">
        <v>73</v>
      </c>
      <c r="C112" t="s">
        <v>105</v>
      </c>
      <c r="D112" s="8">
        <v>2024</v>
      </c>
      <c r="E112" s="29">
        <v>2</v>
      </c>
      <c r="F112">
        <v>6</v>
      </c>
      <c r="G112">
        <v>64</v>
      </c>
      <c r="H112">
        <v>95</v>
      </c>
      <c r="I112">
        <v>50</v>
      </c>
      <c r="J112">
        <v>6.2</v>
      </c>
      <c r="K112" t="s">
        <v>75</v>
      </c>
      <c r="L112" t="s">
        <v>22</v>
      </c>
      <c r="M112" t="s">
        <v>23</v>
      </c>
      <c r="N112" t="s">
        <v>33</v>
      </c>
      <c r="O112" t="s">
        <v>52</v>
      </c>
      <c r="P112" t="s">
        <v>26</v>
      </c>
      <c r="Q112">
        <v>899</v>
      </c>
      <c r="R112">
        <v>577</v>
      </c>
    </row>
    <row r="113" spans="1:18">
      <c r="A113" t="s">
        <v>188</v>
      </c>
      <c r="B113" t="s">
        <v>37</v>
      </c>
      <c r="C113" t="s">
        <v>38</v>
      </c>
      <c r="D113" s="8">
        <v>2023</v>
      </c>
      <c r="E113" s="29">
        <v>3</v>
      </c>
      <c r="F113">
        <v>6</v>
      </c>
      <c r="G113">
        <v>128</v>
      </c>
      <c r="H113">
        <v>81</v>
      </c>
      <c r="I113">
        <v>48</v>
      </c>
      <c r="J113">
        <v>6.4</v>
      </c>
      <c r="K113" t="s">
        <v>39</v>
      </c>
      <c r="L113" t="s">
        <v>57</v>
      </c>
      <c r="M113" t="s">
        <v>40</v>
      </c>
      <c r="N113" t="s">
        <v>24</v>
      </c>
      <c r="O113" t="s">
        <v>41</v>
      </c>
      <c r="P113" t="s">
        <v>35</v>
      </c>
      <c r="Q113">
        <v>599</v>
      </c>
      <c r="R113">
        <v>345</v>
      </c>
    </row>
    <row r="114" spans="1:18">
      <c r="A114" t="s">
        <v>189</v>
      </c>
      <c r="B114" t="s">
        <v>68</v>
      </c>
      <c r="C114" t="s">
        <v>81</v>
      </c>
      <c r="D114" s="8">
        <v>2023</v>
      </c>
      <c r="E114" s="29">
        <v>3</v>
      </c>
      <c r="F114">
        <v>4</v>
      </c>
      <c r="G114">
        <v>64</v>
      </c>
      <c r="H114">
        <v>92</v>
      </c>
      <c r="I114">
        <v>48</v>
      </c>
      <c r="J114">
        <v>6.78</v>
      </c>
      <c r="K114" t="s">
        <v>82</v>
      </c>
      <c r="L114" t="s">
        <v>31</v>
      </c>
      <c r="M114" t="s">
        <v>40</v>
      </c>
      <c r="N114" t="s">
        <v>33</v>
      </c>
      <c r="O114" t="s">
        <v>84</v>
      </c>
      <c r="P114" t="s">
        <v>26</v>
      </c>
      <c r="Q114">
        <v>299</v>
      </c>
      <c r="R114">
        <v>289</v>
      </c>
    </row>
    <row r="115" spans="1:18">
      <c r="A115" t="s">
        <v>190</v>
      </c>
      <c r="B115" t="s">
        <v>73</v>
      </c>
      <c r="C115" t="s">
        <v>74</v>
      </c>
      <c r="D115" s="8">
        <v>2021</v>
      </c>
      <c r="E115" s="29">
        <v>5</v>
      </c>
      <c r="F115">
        <v>6</v>
      </c>
      <c r="G115">
        <v>128</v>
      </c>
      <c r="H115">
        <v>83</v>
      </c>
      <c r="I115">
        <v>108</v>
      </c>
      <c r="J115">
        <v>6.78</v>
      </c>
      <c r="K115" t="s">
        <v>75</v>
      </c>
      <c r="L115" t="s">
        <v>22</v>
      </c>
      <c r="M115" t="s">
        <v>40</v>
      </c>
      <c r="N115" t="s">
        <v>24</v>
      </c>
      <c r="O115" t="s">
        <v>52</v>
      </c>
      <c r="P115" t="s">
        <v>26</v>
      </c>
      <c r="Q115">
        <v>799</v>
      </c>
      <c r="R115">
        <v>557</v>
      </c>
    </row>
    <row r="116" spans="1:18">
      <c r="A116" t="s">
        <v>191</v>
      </c>
      <c r="B116" t="s">
        <v>77</v>
      </c>
      <c r="C116" t="s">
        <v>78</v>
      </c>
      <c r="D116" s="8">
        <v>2022</v>
      </c>
      <c r="E116" s="29">
        <v>4</v>
      </c>
      <c r="F116">
        <v>8</v>
      </c>
      <c r="G116">
        <v>64</v>
      </c>
      <c r="H116">
        <v>82</v>
      </c>
      <c r="I116">
        <v>50</v>
      </c>
      <c r="J116">
        <v>6.5</v>
      </c>
      <c r="K116" t="s">
        <v>79</v>
      </c>
      <c r="L116" t="s">
        <v>22</v>
      </c>
      <c r="M116" t="s">
        <v>40</v>
      </c>
      <c r="N116" t="s">
        <v>33</v>
      </c>
      <c r="O116" t="s">
        <v>48</v>
      </c>
      <c r="P116" t="s">
        <v>26</v>
      </c>
      <c r="Q116">
        <v>699</v>
      </c>
      <c r="R116">
        <v>500</v>
      </c>
    </row>
    <row r="117" spans="1:18">
      <c r="A117" t="s">
        <v>192</v>
      </c>
      <c r="B117" t="s">
        <v>37</v>
      </c>
      <c r="C117" t="s">
        <v>38</v>
      </c>
      <c r="D117" s="8">
        <v>2020</v>
      </c>
      <c r="E117" s="29">
        <v>6</v>
      </c>
      <c r="F117">
        <v>8</v>
      </c>
      <c r="G117">
        <v>128</v>
      </c>
      <c r="H117">
        <v>92</v>
      </c>
      <c r="I117">
        <v>50</v>
      </c>
      <c r="J117">
        <v>6.1</v>
      </c>
      <c r="K117" t="s">
        <v>39</v>
      </c>
      <c r="L117" t="s">
        <v>22</v>
      </c>
      <c r="M117" t="s">
        <v>86</v>
      </c>
      <c r="N117" t="s">
        <v>33</v>
      </c>
      <c r="O117" t="s">
        <v>52</v>
      </c>
      <c r="P117" t="s">
        <v>26</v>
      </c>
      <c r="Q117">
        <v>599</v>
      </c>
      <c r="R117">
        <v>437</v>
      </c>
    </row>
    <row r="118" spans="1:18">
      <c r="A118" t="s">
        <v>193</v>
      </c>
      <c r="B118" t="s">
        <v>77</v>
      </c>
      <c r="C118" t="s">
        <v>78</v>
      </c>
      <c r="D118" s="8">
        <v>2021</v>
      </c>
      <c r="E118" s="29">
        <v>5</v>
      </c>
      <c r="F118">
        <v>6</v>
      </c>
      <c r="G118">
        <v>256</v>
      </c>
      <c r="H118">
        <v>96</v>
      </c>
      <c r="I118">
        <v>48</v>
      </c>
      <c r="J118">
        <v>6.5</v>
      </c>
      <c r="K118" t="s">
        <v>79</v>
      </c>
      <c r="L118" t="s">
        <v>57</v>
      </c>
      <c r="M118" t="s">
        <v>86</v>
      </c>
      <c r="N118" t="s">
        <v>24</v>
      </c>
      <c r="O118" t="s">
        <v>87</v>
      </c>
      <c r="P118" t="s">
        <v>35</v>
      </c>
      <c r="Q118">
        <v>699</v>
      </c>
      <c r="R118">
        <v>395</v>
      </c>
    </row>
    <row r="119" spans="1:18">
      <c r="A119" t="s">
        <v>194</v>
      </c>
      <c r="B119" t="s">
        <v>73</v>
      </c>
      <c r="C119" t="s">
        <v>122</v>
      </c>
      <c r="D119" s="8">
        <v>2022</v>
      </c>
      <c r="E119" s="29">
        <v>4</v>
      </c>
      <c r="F119">
        <v>4</v>
      </c>
      <c r="G119">
        <v>64</v>
      </c>
      <c r="H119">
        <v>84</v>
      </c>
      <c r="I119">
        <v>48</v>
      </c>
      <c r="J119">
        <v>6.7</v>
      </c>
      <c r="K119" t="s">
        <v>123</v>
      </c>
      <c r="L119" t="s">
        <v>22</v>
      </c>
      <c r="M119" t="s">
        <v>86</v>
      </c>
      <c r="N119" t="s">
        <v>33</v>
      </c>
      <c r="O119" t="s">
        <v>61</v>
      </c>
      <c r="P119" t="s">
        <v>35</v>
      </c>
      <c r="Q119">
        <v>699</v>
      </c>
      <c r="R119">
        <v>484</v>
      </c>
    </row>
    <row r="120" spans="1:18">
      <c r="A120" t="s">
        <v>195</v>
      </c>
      <c r="B120" t="s">
        <v>44</v>
      </c>
      <c r="C120" t="s">
        <v>45</v>
      </c>
      <c r="D120" s="8">
        <v>2020</v>
      </c>
      <c r="E120" s="29">
        <v>6</v>
      </c>
      <c r="F120">
        <v>6</v>
      </c>
      <c r="G120">
        <v>128</v>
      </c>
      <c r="H120">
        <v>77</v>
      </c>
      <c r="I120">
        <v>50</v>
      </c>
      <c r="J120">
        <v>6.5</v>
      </c>
      <c r="K120" t="s">
        <v>46</v>
      </c>
      <c r="L120" t="s">
        <v>57</v>
      </c>
      <c r="M120" t="s">
        <v>23</v>
      </c>
      <c r="N120" t="s">
        <v>33</v>
      </c>
      <c r="O120" t="s">
        <v>61</v>
      </c>
      <c r="P120" t="s">
        <v>26</v>
      </c>
      <c r="Q120">
        <v>799</v>
      </c>
      <c r="R120">
        <v>443</v>
      </c>
    </row>
    <row r="121" spans="1:18">
      <c r="A121" t="s">
        <v>196</v>
      </c>
      <c r="B121" t="s">
        <v>73</v>
      </c>
      <c r="C121" t="s">
        <v>105</v>
      </c>
      <c r="D121" s="8">
        <v>2024</v>
      </c>
      <c r="E121" s="29">
        <v>2</v>
      </c>
      <c r="F121">
        <v>6</v>
      </c>
      <c r="G121">
        <v>64</v>
      </c>
      <c r="H121">
        <v>84</v>
      </c>
      <c r="I121">
        <v>108</v>
      </c>
      <c r="J121">
        <v>6.67</v>
      </c>
      <c r="K121" t="s">
        <v>75</v>
      </c>
      <c r="L121" t="s">
        <v>59</v>
      </c>
      <c r="M121" t="s">
        <v>60</v>
      </c>
      <c r="N121" t="s">
        <v>33</v>
      </c>
      <c r="O121" t="s">
        <v>41</v>
      </c>
      <c r="P121" t="s">
        <v>26</v>
      </c>
      <c r="Q121">
        <v>899</v>
      </c>
      <c r="R121">
        <v>732</v>
      </c>
    </row>
    <row r="122" spans="1:18">
      <c r="A122" t="s">
        <v>197</v>
      </c>
      <c r="B122" t="s">
        <v>73</v>
      </c>
      <c r="C122" t="s">
        <v>105</v>
      </c>
      <c r="D122" s="8">
        <v>2024</v>
      </c>
      <c r="E122" s="29">
        <v>2</v>
      </c>
      <c r="F122">
        <v>6</v>
      </c>
      <c r="G122">
        <v>64</v>
      </c>
      <c r="H122">
        <v>93</v>
      </c>
      <c r="I122">
        <v>64</v>
      </c>
      <c r="J122">
        <v>6.1</v>
      </c>
      <c r="K122" t="s">
        <v>75</v>
      </c>
      <c r="L122" t="s">
        <v>57</v>
      </c>
      <c r="M122" t="s">
        <v>60</v>
      </c>
      <c r="N122" t="s">
        <v>24</v>
      </c>
      <c r="O122" t="s">
        <v>52</v>
      </c>
      <c r="P122" t="s">
        <v>35</v>
      </c>
      <c r="Q122">
        <v>899</v>
      </c>
      <c r="R122">
        <v>443</v>
      </c>
    </row>
    <row r="123" spans="1:18">
      <c r="A123" t="s">
        <v>198</v>
      </c>
      <c r="B123" t="s">
        <v>37</v>
      </c>
      <c r="C123" t="s">
        <v>38</v>
      </c>
      <c r="D123" s="8">
        <v>2020</v>
      </c>
      <c r="E123" s="29">
        <v>6</v>
      </c>
      <c r="F123">
        <v>4</v>
      </c>
      <c r="G123">
        <v>512</v>
      </c>
      <c r="H123">
        <v>79</v>
      </c>
      <c r="I123">
        <v>108</v>
      </c>
      <c r="J123">
        <v>6.5</v>
      </c>
      <c r="K123" t="s">
        <v>39</v>
      </c>
      <c r="L123" t="s">
        <v>22</v>
      </c>
      <c r="M123" t="s">
        <v>23</v>
      </c>
      <c r="N123" t="s">
        <v>33</v>
      </c>
      <c r="O123" t="s">
        <v>34</v>
      </c>
      <c r="P123" t="s">
        <v>35</v>
      </c>
      <c r="Q123">
        <v>599</v>
      </c>
      <c r="R123">
        <v>460</v>
      </c>
    </row>
    <row r="124" spans="1:18">
      <c r="A124" t="s">
        <v>199</v>
      </c>
      <c r="B124" t="s">
        <v>64</v>
      </c>
      <c r="C124" t="s">
        <v>65</v>
      </c>
      <c r="D124" s="8">
        <v>2022</v>
      </c>
      <c r="E124" s="29">
        <v>4</v>
      </c>
      <c r="F124">
        <v>12</v>
      </c>
      <c r="G124">
        <v>256</v>
      </c>
      <c r="H124">
        <v>98</v>
      </c>
      <c r="I124">
        <v>12</v>
      </c>
      <c r="J124">
        <v>6.67</v>
      </c>
      <c r="K124" t="s">
        <v>66</v>
      </c>
      <c r="L124" t="s">
        <v>59</v>
      </c>
      <c r="M124" t="s">
        <v>47</v>
      </c>
      <c r="N124" t="s">
        <v>33</v>
      </c>
      <c r="O124" t="s">
        <v>25</v>
      </c>
      <c r="P124" t="s">
        <v>35</v>
      </c>
      <c r="Q124">
        <v>499</v>
      </c>
      <c r="R124">
        <v>456</v>
      </c>
    </row>
    <row r="125" spans="1:18">
      <c r="A125" t="s">
        <v>200</v>
      </c>
      <c r="B125" t="s">
        <v>77</v>
      </c>
      <c r="C125" t="s">
        <v>78</v>
      </c>
      <c r="D125" s="8">
        <v>2022</v>
      </c>
      <c r="E125" s="29">
        <v>4</v>
      </c>
      <c r="F125">
        <v>12</v>
      </c>
      <c r="G125">
        <v>512</v>
      </c>
      <c r="H125">
        <v>87</v>
      </c>
      <c r="I125">
        <v>12</v>
      </c>
      <c r="J125">
        <v>6.7</v>
      </c>
      <c r="K125" t="s">
        <v>79</v>
      </c>
      <c r="L125" t="s">
        <v>31</v>
      </c>
      <c r="M125" t="s">
        <v>60</v>
      </c>
      <c r="N125" t="s">
        <v>33</v>
      </c>
      <c r="O125" t="s">
        <v>25</v>
      </c>
      <c r="P125" t="s">
        <v>35</v>
      </c>
      <c r="Q125">
        <v>699</v>
      </c>
      <c r="R125">
        <v>689</v>
      </c>
    </row>
    <row r="126" spans="1:18">
      <c r="A126" t="s">
        <v>201</v>
      </c>
      <c r="B126" t="s">
        <v>19</v>
      </c>
      <c r="C126" t="s">
        <v>20</v>
      </c>
      <c r="D126" s="8">
        <v>2024</v>
      </c>
      <c r="E126" s="29">
        <v>2</v>
      </c>
      <c r="F126">
        <v>6</v>
      </c>
      <c r="G126">
        <v>256</v>
      </c>
      <c r="H126">
        <v>75</v>
      </c>
      <c r="I126">
        <v>50</v>
      </c>
      <c r="J126">
        <v>6.1</v>
      </c>
      <c r="K126" t="s">
        <v>21</v>
      </c>
      <c r="L126" t="s">
        <v>57</v>
      </c>
      <c r="M126" t="s">
        <v>40</v>
      </c>
      <c r="N126" t="s">
        <v>33</v>
      </c>
      <c r="O126" t="s">
        <v>34</v>
      </c>
      <c r="P126" t="s">
        <v>35</v>
      </c>
      <c r="Q126">
        <v>599</v>
      </c>
      <c r="R126">
        <v>337</v>
      </c>
    </row>
    <row r="127" spans="1:18">
      <c r="A127" t="s">
        <v>202</v>
      </c>
      <c r="B127" t="s">
        <v>73</v>
      </c>
      <c r="C127" t="s">
        <v>122</v>
      </c>
      <c r="D127" s="8">
        <v>2020</v>
      </c>
      <c r="E127" s="29">
        <v>6</v>
      </c>
      <c r="F127">
        <v>12</v>
      </c>
      <c r="G127">
        <v>64</v>
      </c>
      <c r="H127">
        <v>87</v>
      </c>
      <c r="I127">
        <v>108</v>
      </c>
      <c r="J127">
        <v>6.5</v>
      </c>
      <c r="K127" t="s">
        <v>123</v>
      </c>
      <c r="L127" t="s">
        <v>57</v>
      </c>
      <c r="M127" t="s">
        <v>47</v>
      </c>
      <c r="N127" t="s">
        <v>24</v>
      </c>
      <c r="O127" t="s">
        <v>87</v>
      </c>
      <c r="P127" t="s">
        <v>35</v>
      </c>
      <c r="Q127">
        <v>699</v>
      </c>
      <c r="R127">
        <v>371</v>
      </c>
    </row>
    <row r="128" spans="1:18">
      <c r="A128" t="s">
        <v>203</v>
      </c>
      <c r="B128" t="s">
        <v>68</v>
      </c>
      <c r="C128" t="s">
        <v>69</v>
      </c>
      <c r="D128" s="8">
        <v>2020</v>
      </c>
      <c r="E128" s="29">
        <v>6</v>
      </c>
      <c r="F128">
        <v>8</v>
      </c>
      <c r="G128">
        <v>64</v>
      </c>
      <c r="H128">
        <v>82</v>
      </c>
      <c r="I128">
        <v>64</v>
      </c>
      <c r="J128">
        <v>6.78</v>
      </c>
      <c r="K128" t="s">
        <v>70</v>
      </c>
      <c r="L128" t="s">
        <v>22</v>
      </c>
      <c r="M128" t="s">
        <v>60</v>
      </c>
      <c r="N128" t="s">
        <v>24</v>
      </c>
      <c r="O128" t="s">
        <v>41</v>
      </c>
      <c r="P128" t="s">
        <v>35</v>
      </c>
      <c r="Q128">
        <v>399</v>
      </c>
      <c r="R128">
        <v>312</v>
      </c>
    </row>
    <row r="129" spans="1:18">
      <c r="A129" t="s">
        <v>204</v>
      </c>
      <c r="B129" t="s">
        <v>37</v>
      </c>
      <c r="C129" t="s">
        <v>38</v>
      </c>
      <c r="D129" s="8">
        <v>2023</v>
      </c>
      <c r="E129" s="29">
        <v>3</v>
      </c>
      <c r="F129">
        <v>12</v>
      </c>
      <c r="G129">
        <v>128</v>
      </c>
      <c r="H129">
        <v>75</v>
      </c>
      <c r="I129">
        <v>50</v>
      </c>
      <c r="J129">
        <v>6.1</v>
      </c>
      <c r="K129" t="s">
        <v>39</v>
      </c>
      <c r="L129" t="s">
        <v>22</v>
      </c>
      <c r="M129" t="s">
        <v>32</v>
      </c>
      <c r="N129" t="s">
        <v>24</v>
      </c>
      <c r="O129" t="s">
        <v>48</v>
      </c>
      <c r="P129" t="s">
        <v>35</v>
      </c>
      <c r="Q129">
        <v>599</v>
      </c>
      <c r="R129">
        <v>424</v>
      </c>
    </row>
    <row r="130" spans="1:18">
      <c r="A130" t="s">
        <v>205</v>
      </c>
      <c r="B130" t="s">
        <v>73</v>
      </c>
      <c r="C130" t="s">
        <v>105</v>
      </c>
      <c r="D130" s="8">
        <v>2021</v>
      </c>
      <c r="E130" s="29">
        <v>5</v>
      </c>
      <c r="F130">
        <v>4</v>
      </c>
      <c r="G130">
        <v>256</v>
      </c>
      <c r="H130">
        <v>78</v>
      </c>
      <c r="I130">
        <v>48</v>
      </c>
      <c r="J130">
        <v>6.78</v>
      </c>
      <c r="K130" t="s">
        <v>75</v>
      </c>
      <c r="L130" t="s">
        <v>59</v>
      </c>
      <c r="M130" t="s">
        <v>32</v>
      </c>
      <c r="N130" t="s">
        <v>24</v>
      </c>
      <c r="O130" t="s">
        <v>34</v>
      </c>
      <c r="P130" t="s">
        <v>26</v>
      </c>
      <c r="Q130">
        <v>899</v>
      </c>
      <c r="R130">
        <v>757</v>
      </c>
    </row>
    <row r="131" spans="1:18">
      <c r="A131" t="s">
        <v>206</v>
      </c>
      <c r="B131" t="s">
        <v>54</v>
      </c>
      <c r="C131" t="s">
        <v>55</v>
      </c>
      <c r="D131" s="8">
        <v>2022</v>
      </c>
      <c r="E131" s="29">
        <v>4</v>
      </c>
      <c r="F131">
        <v>12</v>
      </c>
      <c r="G131">
        <v>128</v>
      </c>
      <c r="H131">
        <v>92</v>
      </c>
      <c r="I131">
        <v>64</v>
      </c>
      <c r="J131">
        <v>6.2</v>
      </c>
      <c r="K131" t="s">
        <v>56</v>
      </c>
      <c r="L131" t="s">
        <v>59</v>
      </c>
      <c r="M131" t="s">
        <v>23</v>
      </c>
      <c r="N131" t="s">
        <v>33</v>
      </c>
      <c r="O131" t="s">
        <v>87</v>
      </c>
      <c r="P131" t="s">
        <v>35</v>
      </c>
      <c r="Q131">
        <v>549</v>
      </c>
      <c r="R131">
        <v>463</v>
      </c>
    </row>
    <row r="132" spans="1:18">
      <c r="A132" t="s">
        <v>207</v>
      </c>
      <c r="B132" t="s">
        <v>89</v>
      </c>
      <c r="C132" t="s">
        <v>90</v>
      </c>
      <c r="D132" s="8">
        <v>2024</v>
      </c>
      <c r="E132" s="29">
        <v>2</v>
      </c>
      <c r="F132">
        <v>4</v>
      </c>
      <c r="G132">
        <v>64</v>
      </c>
      <c r="H132">
        <v>99</v>
      </c>
      <c r="I132">
        <v>12</v>
      </c>
      <c r="J132">
        <v>6.4</v>
      </c>
      <c r="K132" t="s">
        <v>91</v>
      </c>
      <c r="L132" t="s">
        <v>59</v>
      </c>
      <c r="M132" t="s">
        <v>32</v>
      </c>
      <c r="N132" t="s">
        <v>33</v>
      </c>
      <c r="O132" t="s">
        <v>34</v>
      </c>
      <c r="P132" t="s">
        <v>35</v>
      </c>
      <c r="Q132">
        <v>449</v>
      </c>
      <c r="R132">
        <v>412</v>
      </c>
    </row>
    <row r="133" spans="1:18">
      <c r="A133" t="s">
        <v>208</v>
      </c>
      <c r="B133" t="s">
        <v>28</v>
      </c>
      <c r="C133" t="s">
        <v>29</v>
      </c>
      <c r="D133" s="8">
        <v>2020</v>
      </c>
      <c r="E133" s="29">
        <v>6</v>
      </c>
      <c r="F133">
        <v>12</v>
      </c>
      <c r="G133">
        <v>64</v>
      </c>
      <c r="H133">
        <v>77</v>
      </c>
      <c r="I133">
        <v>50</v>
      </c>
      <c r="J133">
        <v>6.2</v>
      </c>
      <c r="K133" t="s">
        <v>30</v>
      </c>
      <c r="L133" t="s">
        <v>59</v>
      </c>
      <c r="M133" t="s">
        <v>60</v>
      </c>
      <c r="N133" t="s">
        <v>33</v>
      </c>
      <c r="O133" t="s">
        <v>52</v>
      </c>
      <c r="P133" t="s">
        <v>35</v>
      </c>
      <c r="Q133">
        <v>599</v>
      </c>
      <c r="R133">
        <v>486</v>
      </c>
    </row>
    <row r="134" spans="1:18">
      <c r="A134" t="s">
        <v>209</v>
      </c>
      <c r="B134" t="s">
        <v>28</v>
      </c>
      <c r="C134" t="s">
        <v>29</v>
      </c>
      <c r="D134" s="8">
        <v>2021</v>
      </c>
      <c r="E134" s="29">
        <v>5</v>
      </c>
      <c r="F134">
        <v>8</v>
      </c>
      <c r="G134">
        <v>64</v>
      </c>
      <c r="H134">
        <v>88</v>
      </c>
      <c r="I134">
        <v>48</v>
      </c>
      <c r="J134">
        <v>6.4</v>
      </c>
      <c r="K134" t="s">
        <v>30</v>
      </c>
      <c r="L134" t="s">
        <v>31</v>
      </c>
      <c r="M134" t="s">
        <v>86</v>
      </c>
      <c r="N134" t="s">
        <v>33</v>
      </c>
      <c r="O134" t="s">
        <v>25</v>
      </c>
      <c r="P134" t="s">
        <v>35</v>
      </c>
      <c r="Q134">
        <v>599</v>
      </c>
      <c r="R134">
        <v>568</v>
      </c>
    </row>
    <row r="135" spans="1:18">
      <c r="A135" t="s">
        <v>210</v>
      </c>
      <c r="B135" t="s">
        <v>89</v>
      </c>
      <c r="C135" t="s">
        <v>90</v>
      </c>
      <c r="D135" s="8">
        <v>2023</v>
      </c>
      <c r="E135" s="29">
        <v>3</v>
      </c>
      <c r="F135">
        <v>6</v>
      </c>
      <c r="G135">
        <v>128</v>
      </c>
      <c r="H135">
        <v>85</v>
      </c>
      <c r="I135">
        <v>108</v>
      </c>
      <c r="J135">
        <v>6.2</v>
      </c>
      <c r="K135" t="s">
        <v>91</v>
      </c>
      <c r="L135" t="s">
        <v>22</v>
      </c>
      <c r="M135" t="s">
        <v>86</v>
      </c>
      <c r="N135" t="s">
        <v>24</v>
      </c>
      <c r="O135" t="s">
        <v>52</v>
      </c>
      <c r="P135" t="s">
        <v>26</v>
      </c>
      <c r="Q135">
        <v>449</v>
      </c>
      <c r="R135">
        <v>338</v>
      </c>
    </row>
    <row r="136" spans="1:18">
      <c r="A136" t="s">
        <v>211</v>
      </c>
      <c r="B136" t="s">
        <v>54</v>
      </c>
      <c r="C136" t="s">
        <v>55</v>
      </c>
      <c r="D136" s="8">
        <v>2024</v>
      </c>
      <c r="E136" s="29">
        <v>2</v>
      </c>
      <c r="F136">
        <v>12</v>
      </c>
      <c r="G136">
        <v>64</v>
      </c>
      <c r="H136">
        <v>83</v>
      </c>
      <c r="I136">
        <v>48</v>
      </c>
      <c r="J136">
        <v>6.1</v>
      </c>
      <c r="K136" t="s">
        <v>56</v>
      </c>
      <c r="L136" t="s">
        <v>57</v>
      </c>
      <c r="M136" t="s">
        <v>47</v>
      </c>
      <c r="N136" t="s">
        <v>33</v>
      </c>
      <c r="O136" t="s">
        <v>61</v>
      </c>
      <c r="P136" t="s">
        <v>35</v>
      </c>
      <c r="Q136">
        <v>549</v>
      </c>
      <c r="R136">
        <v>296</v>
      </c>
    </row>
    <row r="137" spans="1:18">
      <c r="A137" t="s">
        <v>212</v>
      </c>
      <c r="B137" t="s">
        <v>73</v>
      </c>
      <c r="C137" t="s">
        <v>74</v>
      </c>
      <c r="D137" s="8">
        <v>2021</v>
      </c>
      <c r="E137" s="29">
        <v>5</v>
      </c>
      <c r="F137">
        <v>12</v>
      </c>
      <c r="G137">
        <v>64</v>
      </c>
      <c r="H137">
        <v>88</v>
      </c>
      <c r="I137">
        <v>108</v>
      </c>
      <c r="J137">
        <v>6.7</v>
      </c>
      <c r="K137" t="s">
        <v>75</v>
      </c>
      <c r="L137" t="s">
        <v>22</v>
      </c>
      <c r="M137" t="s">
        <v>23</v>
      </c>
      <c r="N137" t="s">
        <v>33</v>
      </c>
      <c r="O137" t="s">
        <v>87</v>
      </c>
      <c r="P137" t="s">
        <v>26</v>
      </c>
      <c r="Q137">
        <v>799</v>
      </c>
      <c r="R137">
        <v>568</v>
      </c>
    </row>
    <row r="138" spans="1:18">
      <c r="A138" t="s">
        <v>213</v>
      </c>
      <c r="B138" t="s">
        <v>54</v>
      </c>
      <c r="C138" t="s">
        <v>55</v>
      </c>
      <c r="D138" s="8">
        <v>2023</v>
      </c>
      <c r="E138" s="29">
        <v>3</v>
      </c>
      <c r="F138">
        <v>12</v>
      </c>
      <c r="G138">
        <v>64</v>
      </c>
      <c r="H138">
        <v>82</v>
      </c>
      <c r="I138">
        <v>12</v>
      </c>
      <c r="J138">
        <v>6.67</v>
      </c>
      <c r="K138" t="s">
        <v>56</v>
      </c>
      <c r="L138" t="s">
        <v>22</v>
      </c>
      <c r="M138" t="s">
        <v>32</v>
      </c>
      <c r="N138" t="s">
        <v>33</v>
      </c>
      <c r="O138" t="s">
        <v>41</v>
      </c>
      <c r="P138" t="s">
        <v>35</v>
      </c>
      <c r="Q138">
        <v>549</v>
      </c>
      <c r="R138">
        <v>379</v>
      </c>
    </row>
    <row r="139" spans="1:18">
      <c r="A139" t="s">
        <v>214</v>
      </c>
      <c r="B139" t="s">
        <v>28</v>
      </c>
      <c r="C139" t="s">
        <v>29</v>
      </c>
      <c r="D139" s="8">
        <v>2024</v>
      </c>
      <c r="E139" s="29">
        <v>2</v>
      </c>
      <c r="F139">
        <v>6</v>
      </c>
      <c r="G139">
        <v>64</v>
      </c>
      <c r="H139">
        <v>83</v>
      </c>
      <c r="I139">
        <v>108</v>
      </c>
      <c r="J139">
        <v>6.2</v>
      </c>
      <c r="K139" t="s">
        <v>30</v>
      </c>
      <c r="L139" t="s">
        <v>59</v>
      </c>
      <c r="M139" t="s">
        <v>32</v>
      </c>
      <c r="N139" t="s">
        <v>24</v>
      </c>
      <c r="O139" t="s">
        <v>52</v>
      </c>
      <c r="P139" t="s">
        <v>35</v>
      </c>
      <c r="Q139">
        <v>599</v>
      </c>
      <c r="R139">
        <v>464</v>
      </c>
    </row>
    <row r="140" spans="1:18">
      <c r="A140" t="s">
        <v>215</v>
      </c>
      <c r="B140" t="s">
        <v>68</v>
      </c>
      <c r="C140" t="s">
        <v>69</v>
      </c>
      <c r="D140" s="8">
        <v>2020</v>
      </c>
      <c r="E140" s="29">
        <v>6</v>
      </c>
      <c r="F140">
        <v>12</v>
      </c>
      <c r="G140">
        <v>256</v>
      </c>
      <c r="H140">
        <v>93</v>
      </c>
      <c r="I140">
        <v>50</v>
      </c>
      <c r="J140">
        <v>6.2</v>
      </c>
      <c r="K140" t="s">
        <v>70</v>
      </c>
      <c r="L140" t="s">
        <v>59</v>
      </c>
      <c r="M140" t="s">
        <v>23</v>
      </c>
      <c r="N140" t="s">
        <v>24</v>
      </c>
      <c r="O140" t="s">
        <v>25</v>
      </c>
      <c r="P140" t="s">
        <v>35</v>
      </c>
      <c r="Q140">
        <v>399</v>
      </c>
      <c r="R140">
        <v>389</v>
      </c>
    </row>
    <row r="141" spans="1:18">
      <c r="A141" t="s">
        <v>216</v>
      </c>
      <c r="B141" t="s">
        <v>73</v>
      </c>
      <c r="C141" t="s">
        <v>74</v>
      </c>
      <c r="D141" s="8">
        <v>2021</v>
      </c>
      <c r="E141" s="29">
        <v>5</v>
      </c>
      <c r="F141">
        <v>6</v>
      </c>
      <c r="G141">
        <v>512</v>
      </c>
      <c r="H141">
        <v>95</v>
      </c>
      <c r="I141">
        <v>50</v>
      </c>
      <c r="J141">
        <v>6.4</v>
      </c>
      <c r="K141" t="s">
        <v>75</v>
      </c>
      <c r="L141" t="s">
        <v>22</v>
      </c>
      <c r="M141" t="s">
        <v>40</v>
      </c>
      <c r="N141" t="s">
        <v>33</v>
      </c>
      <c r="O141" t="s">
        <v>34</v>
      </c>
      <c r="P141" t="s">
        <v>26</v>
      </c>
      <c r="Q141">
        <v>799</v>
      </c>
      <c r="R141">
        <v>606</v>
      </c>
    </row>
    <row r="142" spans="1:18">
      <c r="A142" t="s">
        <v>217</v>
      </c>
      <c r="B142" t="s">
        <v>54</v>
      </c>
      <c r="C142" t="s">
        <v>55</v>
      </c>
      <c r="D142" s="8">
        <v>2020</v>
      </c>
      <c r="E142" s="29">
        <v>6</v>
      </c>
      <c r="F142">
        <v>8</v>
      </c>
      <c r="G142">
        <v>64</v>
      </c>
      <c r="H142">
        <v>100</v>
      </c>
      <c r="I142">
        <v>50</v>
      </c>
      <c r="J142">
        <v>6.5</v>
      </c>
      <c r="K142" t="s">
        <v>56</v>
      </c>
      <c r="L142" t="s">
        <v>31</v>
      </c>
      <c r="M142" t="s">
        <v>60</v>
      </c>
      <c r="N142" t="s">
        <v>33</v>
      </c>
      <c r="O142" t="s">
        <v>41</v>
      </c>
      <c r="P142" t="s">
        <v>35</v>
      </c>
      <c r="Q142">
        <v>549</v>
      </c>
      <c r="R142">
        <v>538</v>
      </c>
    </row>
    <row r="143" spans="1:18">
      <c r="A143" t="s">
        <v>218</v>
      </c>
      <c r="B143" t="s">
        <v>44</v>
      </c>
      <c r="C143" t="s">
        <v>45</v>
      </c>
      <c r="D143" s="8">
        <v>2020</v>
      </c>
      <c r="E143" s="29">
        <v>6</v>
      </c>
      <c r="F143">
        <v>8</v>
      </c>
      <c r="G143">
        <v>128</v>
      </c>
      <c r="H143">
        <v>87</v>
      </c>
      <c r="I143">
        <v>12</v>
      </c>
      <c r="J143">
        <v>6.2</v>
      </c>
      <c r="K143" t="s">
        <v>46</v>
      </c>
      <c r="L143" t="s">
        <v>57</v>
      </c>
      <c r="M143" t="s">
        <v>32</v>
      </c>
      <c r="N143" t="s">
        <v>33</v>
      </c>
      <c r="O143" t="s">
        <v>52</v>
      </c>
      <c r="P143" t="s">
        <v>35</v>
      </c>
      <c r="Q143">
        <v>799</v>
      </c>
      <c r="R143">
        <v>408</v>
      </c>
    </row>
    <row r="144" spans="1:18">
      <c r="A144" t="s">
        <v>219</v>
      </c>
      <c r="B144" t="s">
        <v>37</v>
      </c>
      <c r="C144" t="s">
        <v>38</v>
      </c>
      <c r="D144" s="8">
        <v>2022</v>
      </c>
      <c r="E144" s="29">
        <v>4</v>
      </c>
      <c r="F144">
        <v>12</v>
      </c>
      <c r="G144">
        <v>256</v>
      </c>
      <c r="H144">
        <v>98</v>
      </c>
      <c r="I144">
        <v>48</v>
      </c>
      <c r="J144">
        <v>6.78</v>
      </c>
      <c r="K144" t="s">
        <v>39</v>
      </c>
      <c r="L144" t="s">
        <v>31</v>
      </c>
      <c r="M144" t="s">
        <v>32</v>
      </c>
      <c r="N144" t="s">
        <v>33</v>
      </c>
      <c r="O144" t="s">
        <v>61</v>
      </c>
      <c r="P144" t="s">
        <v>35</v>
      </c>
      <c r="Q144">
        <v>599</v>
      </c>
      <c r="R144">
        <v>589</v>
      </c>
    </row>
    <row r="145" spans="1:18">
      <c r="A145" t="s">
        <v>220</v>
      </c>
      <c r="B145" t="s">
        <v>64</v>
      </c>
      <c r="C145" t="s">
        <v>65</v>
      </c>
      <c r="D145" s="8">
        <v>2023</v>
      </c>
      <c r="E145" s="29">
        <v>3</v>
      </c>
      <c r="F145">
        <v>6</v>
      </c>
      <c r="G145">
        <v>512</v>
      </c>
      <c r="H145">
        <v>92</v>
      </c>
      <c r="I145">
        <v>50</v>
      </c>
      <c r="J145">
        <v>6.7</v>
      </c>
      <c r="K145" t="s">
        <v>66</v>
      </c>
      <c r="L145" t="s">
        <v>31</v>
      </c>
      <c r="M145" t="s">
        <v>47</v>
      </c>
      <c r="N145" t="s">
        <v>33</v>
      </c>
      <c r="O145" t="s">
        <v>61</v>
      </c>
      <c r="P145" t="s">
        <v>35</v>
      </c>
      <c r="Q145">
        <v>499</v>
      </c>
      <c r="R145">
        <v>489</v>
      </c>
    </row>
    <row r="146" spans="1:18">
      <c r="A146" t="s">
        <v>221</v>
      </c>
      <c r="B146" t="s">
        <v>77</v>
      </c>
      <c r="C146" t="s">
        <v>78</v>
      </c>
      <c r="D146" s="8">
        <v>2022</v>
      </c>
      <c r="E146" s="29">
        <v>4</v>
      </c>
      <c r="F146">
        <v>4</v>
      </c>
      <c r="G146">
        <v>512</v>
      </c>
      <c r="H146">
        <v>100</v>
      </c>
      <c r="I146">
        <v>64</v>
      </c>
      <c r="J146">
        <v>6.78</v>
      </c>
      <c r="K146" t="s">
        <v>79</v>
      </c>
      <c r="L146" t="s">
        <v>59</v>
      </c>
      <c r="M146" t="s">
        <v>32</v>
      </c>
      <c r="N146" t="s">
        <v>33</v>
      </c>
      <c r="O146" t="s">
        <v>52</v>
      </c>
      <c r="P146" t="s">
        <v>35</v>
      </c>
      <c r="Q146">
        <v>699</v>
      </c>
      <c r="R146">
        <v>656</v>
      </c>
    </row>
    <row r="147" spans="1:18">
      <c r="A147" t="s">
        <v>222</v>
      </c>
      <c r="B147" t="s">
        <v>64</v>
      </c>
      <c r="C147" t="s">
        <v>65</v>
      </c>
      <c r="D147" s="8">
        <v>2021</v>
      </c>
      <c r="E147" s="29">
        <v>5</v>
      </c>
      <c r="F147">
        <v>4</v>
      </c>
      <c r="G147">
        <v>256</v>
      </c>
      <c r="H147">
        <v>100</v>
      </c>
      <c r="I147">
        <v>50</v>
      </c>
      <c r="J147">
        <v>6.67</v>
      </c>
      <c r="K147" t="s">
        <v>66</v>
      </c>
      <c r="L147" t="s">
        <v>22</v>
      </c>
      <c r="M147" t="s">
        <v>32</v>
      </c>
      <c r="N147" t="s">
        <v>33</v>
      </c>
      <c r="O147" t="s">
        <v>87</v>
      </c>
      <c r="P147" t="s">
        <v>35</v>
      </c>
      <c r="Q147">
        <v>499</v>
      </c>
      <c r="R147">
        <v>362</v>
      </c>
    </row>
    <row r="148" spans="1:18">
      <c r="A148" t="s">
        <v>223</v>
      </c>
      <c r="B148" t="s">
        <v>89</v>
      </c>
      <c r="C148" t="s">
        <v>90</v>
      </c>
      <c r="D148" s="8">
        <v>2024</v>
      </c>
      <c r="E148" s="29">
        <v>2</v>
      </c>
      <c r="F148">
        <v>4</v>
      </c>
      <c r="G148">
        <v>256</v>
      </c>
      <c r="H148">
        <v>94</v>
      </c>
      <c r="I148">
        <v>64</v>
      </c>
      <c r="J148">
        <v>6.78</v>
      </c>
      <c r="K148" t="s">
        <v>91</v>
      </c>
      <c r="L148" t="s">
        <v>57</v>
      </c>
      <c r="M148" t="s">
        <v>47</v>
      </c>
      <c r="N148" t="s">
        <v>33</v>
      </c>
      <c r="O148" t="s">
        <v>61</v>
      </c>
      <c r="P148" t="s">
        <v>26</v>
      </c>
      <c r="Q148">
        <v>449</v>
      </c>
      <c r="R148">
        <v>313</v>
      </c>
    </row>
    <row r="149" spans="1:18">
      <c r="A149" t="s">
        <v>224</v>
      </c>
      <c r="B149" t="s">
        <v>28</v>
      </c>
      <c r="C149" t="s">
        <v>29</v>
      </c>
      <c r="D149" s="8">
        <v>2024</v>
      </c>
      <c r="E149" s="29">
        <v>2</v>
      </c>
      <c r="F149">
        <v>8</v>
      </c>
      <c r="G149">
        <v>128</v>
      </c>
      <c r="H149">
        <v>83</v>
      </c>
      <c r="I149">
        <v>50</v>
      </c>
      <c r="J149">
        <v>6.5</v>
      </c>
      <c r="K149" t="s">
        <v>30</v>
      </c>
      <c r="L149" t="s">
        <v>57</v>
      </c>
      <c r="M149" t="s">
        <v>40</v>
      </c>
      <c r="N149" t="s">
        <v>33</v>
      </c>
      <c r="O149" t="s">
        <v>34</v>
      </c>
      <c r="P149" t="s">
        <v>26</v>
      </c>
      <c r="Q149">
        <v>599</v>
      </c>
      <c r="R149">
        <v>352</v>
      </c>
    </row>
    <row r="150" spans="1:18">
      <c r="A150" t="s">
        <v>225</v>
      </c>
      <c r="B150" t="s">
        <v>44</v>
      </c>
      <c r="C150" t="s">
        <v>45</v>
      </c>
      <c r="D150" s="8">
        <v>2023</v>
      </c>
      <c r="E150" s="29">
        <v>3</v>
      </c>
      <c r="F150">
        <v>6</v>
      </c>
      <c r="G150">
        <v>256</v>
      </c>
      <c r="H150">
        <v>94</v>
      </c>
      <c r="I150">
        <v>50</v>
      </c>
      <c r="J150">
        <v>6.67</v>
      </c>
      <c r="K150" t="s">
        <v>46</v>
      </c>
      <c r="L150" t="s">
        <v>59</v>
      </c>
      <c r="M150" t="s">
        <v>23</v>
      </c>
      <c r="N150" t="s">
        <v>33</v>
      </c>
      <c r="O150" t="s">
        <v>52</v>
      </c>
      <c r="P150" t="s">
        <v>26</v>
      </c>
      <c r="Q150">
        <v>799</v>
      </c>
      <c r="R150">
        <v>664</v>
      </c>
    </row>
    <row r="151" spans="1:18">
      <c r="A151" t="s">
        <v>226</v>
      </c>
      <c r="B151" t="s">
        <v>19</v>
      </c>
      <c r="C151" t="s">
        <v>20</v>
      </c>
      <c r="D151" s="8">
        <v>2024</v>
      </c>
      <c r="E151" s="29">
        <v>2</v>
      </c>
      <c r="F151">
        <v>12</v>
      </c>
      <c r="G151">
        <v>128</v>
      </c>
      <c r="H151">
        <v>93</v>
      </c>
      <c r="I151">
        <v>108</v>
      </c>
      <c r="J151">
        <v>6.7</v>
      </c>
      <c r="K151" t="s">
        <v>21</v>
      </c>
      <c r="L151" t="s">
        <v>59</v>
      </c>
      <c r="M151" t="s">
        <v>47</v>
      </c>
      <c r="N151" t="s">
        <v>33</v>
      </c>
      <c r="O151" t="s">
        <v>34</v>
      </c>
      <c r="P151" t="s">
        <v>35</v>
      </c>
      <c r="Q151">
        <v>599</v>
      </c>
      <c r="R151">
        <v>515</v>
      </c>
    </row>
    <row r="152" spans="1:18">
      <c r="A152" t="s">
        <v>227</v>
      </c>
      <c r="B152" t="s">
        <v>73</v>
      </c>
      <c r="C152" t="s">
        <v>105</v>
      </c>
      <c r="D152" s="8">
        <v>2023</v>
      </c>
      <c r="E152" s="29">
        <v>3</v>
      </c>
      <c r="F152">
        <v>12</v>
      </c>
      <c r="G152">
        <v>128</v>
      </c>
      <c r="H152">
        <v>98</v>
      </c>
      <c r="I152">
        <v>64</v>
      </c>
      <c r="J152">
        <v>6.7</v>
      </c>
      <c r="K152" t="s">
        <v>75</v>
      </c>
      <c r="L152" t="s">
        <v>59</v>
      </c>
      <c r="M152" t="s">
        <v>47</v>
      </c>
      <c r="N152" t="s">
        <v>24</v>
      </c>
      <c r="O152" t="s">
        <v>34</v>
      </c>
      <c r="P152" t="s">
        <v>35</v>
      </c>
      <c r="Q152">
        <v>899</v>
      </c>
      <c r="R152">
        <v>730</v>
      </c>
    </row>
    <row r="153" spans="1:18">
      <c r="A153" t="s">
        <v>228</v>
      </c>
      <c r="B153" t="s">
        <v>68</v>
      </c>
      <c r="C153" t="s">
        <v>69</v>
      </c>
      <c r="D153" s="8">
        <v>2024</v>
      </c>
      <c r="E153" s="29">
        <v>2</v>
      </c>
      <c r="F153">
        <v>6</v>
      </c>
      <c r="G153">
        <v>256</v>
      </c>
      <c r="H153">
        <v>98</v>
      </c>
      <c r="I153">
        <v>50</v>
      </c>
      <c r="J153">
        <v>6.78</v>
      </c>
      <c r="K153" t="s">
        <v>70</v>
      </c>
      <c r="L153" t="s">
        <v>31</v>
      </c>
      <c r="M153" t="s">
        <v>40</v>
      </c>
      <c r="N153" t="s">
        <v>24</v>
      </c>
      <c r="O153" t="s">
        <v>34</v>
      </c>
      <c r="P153" t="s">
        <v>35</v>
      </c>
      <c r="Q153">
        <v>399</v>
      </c>
      <c r="R153">
        <v>389</v>
      </c>
    </row>
    <row r="154" spans="1:18">
      <c r="A154" t="s">
        <v>229</v>
      </c>
      <c r="B154" t="s">
        <v>28</v>
      </c>
      <c r="C154" t="s">
        <v>29</v>
      </c>
      <c r="D154" s="8">
        <v>2024</v>
      </c>
      <c r="E154" s="29">
        <v>2</v>
      </c>
      <c r="F154">
        <v>8</v>
      </c>
      <c r="G154">
        <v>256</v>
      </c>
      <c r="H154">
        <v>85</v>
      </c>
      <c r="I154">
        <v>12</v>
      </c>
      <c r="J154">
        <v>6.4</v>
      </c>
      <c r="K154" t="s">
        <v>30</v>
      </c>
      <c r="L154" t="s">
        <v>22</v>
      </c>
      <c r="M154" t="s">
        <v>86</v>
      </c>
      <c r="N154" t="s">
        <v>24</v>
      </c>
      <c r="O154" t="s">
        <v>41</v>
      </c>
      <c r="P154" t="s">
        <v>35</v>
      </c>
      <c r="Q154">
        <v>599</v>
      </c>
      <c r="R154">
        <v>446</v>
      </c>
    </row>
    <row r="155" spans="1:18">
      <c r="A155" t="s">
        <v>230</v>
      </c>
      <c r="B155" t="s">
        <v>19</v>
      </c>
      <c r="C155" t="s">
        <v>20</v>
      </c>
      <c r="D155" s="8">
        <v>2024</v>
      </c>
      <c r="E155" s="29">
        <v>2</v>
      </c>
      <c r="F155">
        <v>4</v>
      </c>
      <c r="G155">
        <v>128</v>
      </c>
      <c r="H155">
        <v>96</v>
      </c>
      <c r="I155">
        <v>50</v>
      </c>
      <c r="J155">
        <v>6.67</v>
      </c>
      <c r="K155" t="s">
        <v>21</v>
      </c>
      <c r="L155" t="s">
        <v>57</v>
      </c>
      <c r="M155" t="s">
        <v>86</v>
      </c>
      <c r="N155" t="s">
        <v>24</v>
      </c>
      <c r="O155" t="s">
        <v>34</v>
      </c>
      <c r="P155" t="s">
        <v>35</v>
      </c>
      <c r="Q155">
        <v>599</v>
      </c>
      <c r="R155">
        <v>310</v>
      </c>
    </row>
    <row r="156" spans="1:18">
      <c r="A156" t="s">
        <v>231</v>
      </c>
      <c r="B156" t="s">
        <v>44</v>
      </c>
      <c r="C156" t="s">
        <v>45</v>
      </c>
      <c r="D156" s="8">
        <v>2021</v>
      </c>
      <c r="E156" s="29">
        <v>5</v>
      </c>
      <c r="F156">
        <v>6</v>
      </c>
      <c r="G156">
        <v>64</v>
      </c>
      <c r="H156">
        <v>82</v>
      </c>
      <c r="I156">
        <v>108</v>
      </c>
      <c r="J156">
        <v>6.5</v>
      </c>
      <c r="K156" t="s">
        <v>46</v>
      </c>
      <c r="L156" t="s">
        <v>59</v>
      </c>
      <c r="M156" t="s">
        <v>40</v>
      </c>
      <c r="N156" t="s">
        <v>24</v>
      </c>
      <c r="O156" t="s">
        <v>52</v>
      </c>
      <c r="P156" t="s">
        <v>35</v>
      </c>
      <c r="Q156">
        <v>799</v>
      </c>
      <c r="R156">
        <v>655</v>
      </c>
    </row>
    <row r="157" spans="1:18">
      <c r="A157" t="s">
        <v>232</v>
      </c>
      <c r="B157" t="s">
        <v>44</v>
      </c>
      <c r="C157" t="s">
        <v>45</v>
      </c>
      <c r="D157" s="8">
        <v>2023</v>
      </c>
      <c r="E157" s="29">
        <v>3</v>
      </c>
      <c r="F157">
        <v>8</v>
      </c>
      <c r="G157">
        <v>256</v>
      </c>
      <c r="H157">
        <v>81</v>
      </c>
      <c r="I157">
        <v>64</v>
      </c>
      <c r="J157">
        <v>6.78</v>
      </c>
      <c r="K157" t="s">
        <v>46</v>
      </c>
      <c r="L157" t="s">
        <v>59</v>
      </c>
      <c r="M157" t="s">
        <v>47</v>
      </c>
      <c r="N157" t="s">
        <v>24</v>
      </c>
      <c r="O157" t="s">
        <v>25</v>
      </c>
      <c r="P157" t="s">
        <v>26</v>
      </c>
      <c r="Q157">
        <v>799</v>
      </c>
      <c r="R157">
        <v>693</v>
      </c>
    </row>
    <row r="158" spans="1:18">
      <c r="A158" t="s">
        <v>233</v>
      </c>
      <c r="B158" t="s">
        <v>89</v>
      </c>
      <c r="C158" t="s">
        <v>90</v>
      </c>
      <c r="D158" s="8">
        <v>2021</v>
      </c>
      <c r="E158" s="29">
        <v>5</v>
      </c>
      <c r="F158">
        <v>12</v>
      </c>
      <c r="G158">
        <v>64</v>
      </c>
      <c r="H158">
        <v>89</v>
      </c>
      <c r="I158">
        <v>48</v>
      </c>
      <c r="J158">
        <v>6.4</v>
      </c>
      <c r="K158" t="s">
        <v>91</v>
      </c>
      <c r="L158" t="s">
        <v>22</v>
      </c>
      <c r="M158" t="s">
        <v>47</v>
      </c>
      <c r="N158" t="s">
        <v>33</v>
      </c>
      <c r="O158" t="s">
        <v>84</v>
      </c>
      <c r="P158" t="s">
        <v>26</v>
      </c>
      <c r="Q158">
        <v>449</v>
      </c>
      <c r="R158">
        <v>336</v>
      </c>
    </row>
    <row r="159" spans="1:18">
      <c r="A159" t="s">
        <v>234</v>
      </c>
      <c r="B159" t="s">
        <v>68</v>
      </c>
      <c r="C159" t="s">
        <v>69</v>
      </c>
      <c r="D159" s="8">
        <v>2021</v>
      </c>
      <c r="E159" s="29">
        <v>5</v>
      </c>
      <c r="F159">
        <v>8</v>
      </c>
      <c r="G159">
        <v>128</v>
      </c>
      <c r="H159">
        <v>86</v>
      </c>
      <c r="I159">
        <v>48</v>
      </c>
      <c r="J159">
        <v>6.78</v>
      </c>
      <c r="K159" t="s">
        <v>70</v>
      </c>
      <c r="L159" t="s">
        <v>31</v>
      </c>
      <c r="M159" t="s">
        <v>60</v>
      </c>
      <c r="N159" t="s">
        <v>33</v>
      </c>
      <c r="O159" t="s">
        <v>48</v>
      </c>
      <c r="P159" t="s">
        <v>35</v>
      </c>
      <c r="Q159">
        <v>399</v>
      </c>
      <c r="R159">
        <v>389</v>
      </c>
    </row>
    <row r="160" spans="1:18">
      <c r="A160" t="s">
        <v>235</v>
      </c>
      <c r="B160" t="s">
        <v>73</v>
      </c>
      <c r="C160" t="s">
        <v>105</v>
      </c>
      <c r="D160" s="8">
        <v>2024</v>
      </c>
      <c r="E160" s="29">
        <v>2</v>
      </c>
      <c r="F160">
        <v>12</v>
      </c>
      <c r="G160">
        <v>128</v>
      </c>
      <c r="H160">
        <v>88</v>
      </c>
      <c r="I160">
        <v>64</v>
      </c>
      <c r="J160">
        <v>6.2</v>
      </c>
      <c r="K160" t="s">
        <v>75</v>
      </c>
      <c r="L160" t="s">
        <v>22</v>
      </c>
      <c r="M160" t="s">
        <v>40</v>
      </c>
      <c r="N160" t="s">
        <v>33</v>
      </c>
      <c r="O160" t="s">
        <v>87</v>
      </c>
      <c r="P160" t="s">
        <v>26</v>
      </c>
      <c r="Q160">
        <v>899</v>
      </c>
      <c r="R160">
        <v>617</v>
      </c>
    </row>
    <row r="161" spans="1:18">
      <c r="A161" t="s">
        <v>236</v>
      </c>
      <c r="B161" t="s">
        <v>54</v>
      </c>
      <c r="C161" t="s">
        <v>55</v>
      </c>
      <c r="D161" s="8">
        <v>2020</v>
      </c>
      <c r="E161" s="29">
        <v>6</v>
      </c>
      <c r="F161">
        <v>8</v>
      </c>
      <c r="G161">
        <v>128</v>
      </c>
      <c r="H161">
        <v>97</v>
      </c>
      <c r="I161">
        <v>64</v>
      </c>
      <c r="J161">
        <v>6.67</v>
      </c>
      <c r="K161" t="s">
        <v>56</v>
      </c>
      <c r="L161" t="s">
        <v>59</v>
      </c>
      <c r="M161" t="s">
        <v>47</v>
      </c>
      <c r="N161" t="s">
        <v>33</v>
      </c>
      <c r="O161" t="s">
        <v>52</v>
      </c>
      <c r="P161" t="s">
        <v>26</v>
      </c>
      <c r="Q161">
        <v>549</v>
      </c>
      <c r="R161">
        <v>492</v>
      </c>
    </row>
    <row r="162" spans="1:18">
      <c r="A162" t="s">
        <v>237</v>
      </c>
      <c r="B162" t="s">
        <v>73</v>
      </c>
      <c r="C162" t="s">
        <v>122</v>
      </c>
      <c r="D162" s="8">
        <v>2024</v>
      </c>
      <c r="E162" s="29">
        <v>2</v>
      </c>
      <c r="F162">
        <v>6</v>
      </c>
      <c r="G162">
        <v>128</v>
      </c>
      <c r="H162">
        <v>87</v>
      </c>
      <c r="I162">
        <v>48</v>
      </c>
      <c r="J162">
        <v>6.78</v>
      </c>
      <c r="K162" t="s">
        <v>123</v>
      </c>
      <c r="L162" t="s">
        <v>22</v>
      </c>
      <c r="M162" t="s">
        <v>23</v>
      </c>
      <c r="N162" t="s">
        <v>24</v>
      </c>
      <c r="O162" t="s">
        <v>87</v>
      </c>
      <c r="P162" t="s">
        <v>26</v>
      </c>
      <c r="Q162">
        <v>699</v>
      </c>
      <c r="R162">
        <v>457</v>
      </c>
    </row>
    <row r="163" spans="1:18">
      <c r="A163" t="s">
        <v>238</v>
      </c>
      <c r="B163" t="s">
        <v>37</v>
      </c>
      <c r="C163" t="s">
        <v>38</v>
      </c>
      <c r="D163" s="8">
        <v>2024</v>
      </c>
      <c r="E163" s="29">
        <v>2</v>
      </c>
      <c r="F163">
        <v>12</v>
      </c>
      <c r="G163">
        <v>128</v>
      </c>
      <c r="H163">
        <v>76</v>
      </c>
      <c r="I163">
        <v>50</v>
      </c>
      <c r="J163">
        <v>6.1</v>
      </c>
      <c r="K163" t="s">
        <v>39</v>
      </c>
      <c r="L163" t="s">
        <v>59</v>
      </c>
      <c r="M163" t="s">
        <v>40</v>
      </c>
      <c r="N163" t="s">
        <v>24</v>
      </c>
      <c r="O163" t="s">
        <v>84</v>
      </c>
      <c r="P163" t="s">
        <v>35</v>
      </c>
      <c r="Q163">
        <v>599</v>
      </c>
      <c r="R163">
        <v>506</v>
      </c>
    </row>
    <row r="164" spans="1:18">
      <c r="A164" t="s">
        <v>239</v>
      </c>
      <c r="B164" t="s">
        <v>28</v>
      </c>
      <c r="C164" t="s">
        <v>29</v>
      </c>
      <c r="D164" s="8">
        <v>2022</v>
      </c>
      <c r="E164" s="29">
        <v>4</v>
      </c>
      <c r="F164">
        <v>8</v>
      </c>
      <c r="G164">
        <v>64</v>
      </c>
      <c r="H164">
        <v>80</v>
      </c>
      <c r="I164">
        <v>12</v>
      </c>
      <c r="J164">
        <v>6.7</v>
      </c>
      <c r="K164" t="s">
        <v>30</v>
      </c>
      <c r="L164" t="s">
        <v>31</v>
      </c>
      <c r="M164" t="s">
        <v>32</v>
      </c>
      <c r="N164" t="s">
        <v>33</v>
      </c>
      <c r="O164" t="s">
        <v>61</v>
      </c>
      <c r="P164" t="s">
        <v>26</v>
      </c>
      <c r="Q164">
        <v>599</v>
      </c>
      <c r="R164">
        <v>549</v>
      </c>
    </row>
    <row r="165" spans="1:18">
      <c r="A165" t="s">
        <v>240</v>
      </c>
      <c r="B165" t="s">
        <v>73</v>
      </c>
      <c r="C165" t="s">
        <v>105</v>
      </c>
      <c r="D165" s="8">
        <v>2022</v>
      </c>
      <c r="E165" s="29">
        <v>4</v>
      </c>
      <c r="F165">
        <v>4</v>
      </c>
      <c r="G165">
        <v>256</v>
      </c>
      <c r="H165">
        <v>94</v>
      </c>
      <c r="I165">
        <v>64</v>
      </c>
      <c r="J165">
        <v>6.78</v>
      </c>
      <c r="K165" t="s">
        <v>75</v>
      </c>
      <c r="L165" t="s">
        <v>59</v>
      </c>
      <c r="M165" t="s">
        <v>32</v>
      </c>
      <c r="N165" t="s">
        <v>33</v>
      </c>
      <c r="O165" t="s">
        <v>48</v>
      </c>
      <c r="P165" t="s">
        <v>26</v>
      </c>
      <c r="Q165">
        <v>899</v>
      </c>
      <c r="R165">
        <v>759</v>
      </c>
    </row>
    <row r="166" spans="1:18">
      <c r="A166" t="s">
        <v>241</v>
      </c>
      <c r="B166" t="s">
        <v>28</v>
      </c>
      <c r="C166" t="s">
        <v>29</v>
      </c>
      <c r="D166" s="8">
        <v>2021</v>
      </c>
      <c r="E166" s="29">
        <v>5</v>
      </c>
      <c r="F166">
        <v>8</v>
      </c>
      <c r="G166">
        <v>64</v>
      </c>
      <c r="H166">
        <v>95</v>
      </c>
      <c r="I166">
        <v>48</v>
      </c>
      <c r="J166">
        <v>6.1</v>
      </c>
      <c r="K166" t="s">
        <v>30</v>
      </c>
      <c r="L166" t="s">
        <v>59</v>
      </c>
      <c r="M166" t="s">
        <v>60</v>
      </c>
      <c r="N166" t="s">
        <v>33</v>
      </c>
      <c r="O166" t="s">
        <v>87</v>
      </c>
      <c r="P166" t="s">
        <v>26</v>
      </c>
      <c r="Q166">
        <v>599</v>
      </c>
      <c r="R166">
        <v>530</v>
      </c>
    </row>
    <row r="167" spans="1:18">
      <c r="A167" t="s">
        <v>242</v>
      </c>
      <c r="B167" t="s">
        <v>19</v>
      </c>
      <c r="C167" t="s">
        <v>20</v>
      </c>
      <c r="D167" s="8">
        <v>2021</v>
      </c>
      <c r="E167" s="29">
        <v>5</v>
      </c>
      <c r="F167">
        <v>12</v>
      </c>
      <c r="G167">
        <v>128</v>
      </c>
      <c r="H167">
        <v>83</v>
      </c>
      <c r="I167">
        <v>108</v>
      </c>
      <c r="J167">
        <v>6.7</v>
      </c>
      <c r="K167" t="s">
        <v>21</v>
      </c>
      <c r="L167" t="s">
        <v>57</v>
      </c>
      <c r="M167" t="s">
        <v>47</v>
      </c>
      <c r="N167" t="s">
        <v>24</v>
      </c>
      <c r="O167" t="s">
        <v>87</v>
      </c>
      <c r="P167" t="s">
        <v>35</v>
      </c>
      <c r="Q167">
        <v>599</v>
      </c>
      <c r="R167">
        <v>342</v>
      </c>
    </row>
    <row r="168" spans="1:18">
      <c r="A168" t="s">
        <v>243</v>
      </c>
      <c r="B168" t="s">
        <v>37</v>
      </c>
      <c r="C168" t="s">
        <v>38</v>
      </c>
      <c r="D168" s="8">
        <v>2020</v>
      </c>
      <c r="E168" s="29">
        <v>6</v>
      </c>
      <c r="F168">
        <v>8</v>
      </c>
      <c r="G168">
        <v>64</v>
      </c>
      <c r="H168">
        <v>77</v>
      </c>
      <c r="I168">
        <v>12</v>
      </c>
      <c r="J168">
        <v>6.7</v>
      </c>
      <c r="K168" t="s">
        <v>39</v>
      </c>
      <c r="L168" t="s">
        <v>22</v>
      </c>
      <c r="M168" t="s">
        <v>32</v>
      </c>
      <c r="N168" t="s">
        <v>33</v>
      </c>
      <c r="O168" t="s">
        <v>52</v>
      </c>
      <c r="P168" t="s">
        <v>35</v>
      </c>
      <c r="Q168">
        <v>599</v>
      </c>
      <c r="R168">
        <v>400</v>
      </c>
    </row>
    <row r="169" spans="1:18">
      <c r="A169" t="s">
        <v>244</v>
      </c>
      <c r="B169" t="s">
        <v>89</v>
      </c>
      <c r="C169" t="s">
        <v>90</v>
      </c>
      <c r="D169" s="8">
        <v>2022</v>
      </c>
      <c r="E169" s="29">
        <v>4</v>
      </c>
      <c r="F169">
        <v>6</v>
      </c>
      <c r="G169">
        <v>64</v>
      </c>
      <c r="H169">
        <v>90</v>
      </c>
      <c r="I169">
        <v>12</v>
      </c>
      <c r="J169">
        <v>6.4</v>
      </c>
      <c r="K169" t="s">
        <v>91</v>
      </c>
      <c r="L169" t="s">
        <v>57</v>
      </c>
      <c r="M169" t="s">
        <v>32</v>
      </c>
      <c r="N169" t="s">
        <v>33</v>
      </c>
      <c r="O169" t="s">
        <v>34</v>
      </c>
      <c r="P169" t="s">
        <v>26</v>
      </c>
      <c r="Q169">
        <v>449</v>
      </c>
      <c r="R169">
        <v>251</v>
      </c>
    </row>
    <row r="170" spans="1:18">
      <c r="A170" t="s">
        <v>245</v>
      </c>
      <c r="B170" t="s">
        <v>54</v>
      </c>
      <c r="C170" t="s">
        <v>55</v>
      </c>
      <c r="D170" s="8">
        <v>2020</v>
      </c>
      <c r="E170" s="29">
        <v>6</v>
      </c>
      <c r="F170">
        <v>4</v>
      </c>
      <c r="G170">
        <v>256</v>
      </c>
      <c r="H170">
        <v>86</v>
      </c>
      <c r="I170">
        <v>50</v>
      </c>
      <c r="J170">
        <v>6.7</v>
      </c>
      <c r="K170" t="s">
        <v>56</v>
      </c>
      <c r="L170" t="s">
        <v>59</v>
      </c>
      <c r="M170" t="s">
        <v>47</v>
      </c>
      <c r="N170" t="s">
        <v>33</v>
      </c>
      <c r="O170" t="s">
        <v>52</v>
      </c>
      <c r="P170" t="s">
        <v>35</v>
      </c>
      <c r="Q170">
        <v>549</v>
      </c>
      <c r="R170">
        <v>513</v>
      </c>
    </row>
    <row r="171" spans="1:18">
      <c r="A171" t="s">
        <v>246</v>
      </c>
      <c r="B171" t="s">
        <v>64</v>
      </c>
      <c r="C171" t="s">
        <v>65</v>
      </c>
      <c r="D171" s="8">
        <v>2023</v>
      </c>
      <c r="E171" s="29">
        <v>3</v>
      </c>
      <c r="F171">
        <v>8</v>
      </c>
      <c r="G171">
        <v>64</v>
      </c>
      <c r="H171">
        <v>83</v>
      </c>
      <c r="I171">
        <v>48</v>
      </c>
      <c r="J171">
        <v>6.67</v>
      </c>
      <c r="K171" t="s">
        <v>66</v>
      </c>
      <c r="L171" t="s">
        <v>22</v>
      </c>
      <c r="M171" t="s">
        <v>40</v>
      </c>
      <c r="N171" t="s">
        <v>33</v>
      </c>
      <c r="O171" t="s">
        <v>25</v>
      </c>
      <c r="P171" t="s">
        <v>26</v>
      </c>
      <c r="Q171">
        <v>499</v>
      </c>
      <c r="R171">
        <v>330</v>
      </c>
    </row>
    <row r="172" spans="1:18">
      <c r="A172" t="s">
        <v>247</v>
      </c>
      <c r="B172" t="s">
        <v>89</v>
      </c>
      <c r="C172" t="s">
        <v>115</v>
      </c>
      <c r="D172" s="8">
        <v>2020</v>
      </c>
      <c r="E172" s="29">
        <v>6</v>
      </c>
      <c r="F172">
        <v>12</v>
      </c>
      <c r="G172">
        <v>256</v>
      </c>
      <c r="H172">
        <v>83</v>
      </c>
      <c r="I172">
        <v>48</v>
      </c>
      <c r="J172">
        <v>6.5</v>
      </c>
      <c r="K172" t="s">
        <v>116</v>
      </c>
      <c r="L172" t="s">
        <v>31</v>
      </c>
      <c r="M172" t="s">
        <v>32</v>
      </c>
      <c r="N172" t="s">
        <v>24</v>
      </c>
      <c r="O172" t="s">
        <v>87</v>
      </c>
      <c r="P172" t="s">
        <v>35</v>
      </c>
      <c r="Q172">
        <v>999</v>
      </c>
      <c r="R172">
        <v>951</v>
      </c>
    </row>
    <row r="173" spans="1:18">
      <c r="A173" t="s">
        <v>248</v>
      </c>
      <c r="B173" t="s">
        <v>19</v>
      </c>
      <c r="C173" t="s">
        <v>20</v>
      </c>
      <c r="D173" s="8">
        <v>2023</v>
      </c>
      <c r="E173" s="29">
        <v>3</v>
      </c>
      <c r="F173">
        <v>8</v>
      </c>
      <c r="G173">
        <v>128</v>
      </c>
      <c r="H173">
        <v>81</v>
      </c>
      <c r="I173">
        <v>108</v>
      </c>
      <c r="J173">
        <v>6.5</v>
      </c>
      <c r="K173" t="s">
        <v>21</v>
      </c>
      <c r="L173" t="s">
        <v>59</v>
      </c>
      <c r="M173" t="s">
        <v>86</v>
      </c>
      <c r="N173" t="s">
        <v>24</v>
      </c>
      <c r="O173" t="s">
        <v>34</v>
      </c>
      <c r="P173" t="s">
        <v>35</v>
      </c>
      <c r="Q173">
        <v>599</v>
      </c>
      <c r="R173">
        <v>506</v>
      </c>
    </row>
    <row r="174" spans="1:18">
      <c r="A174" t="s">
        <v>249</v>
      </c>
      <c r="B174" t="s">
        <v>54</v>
      </c>
      <c r="C174" t="s">
        <v>55</v>
      </c>
      <c r="D174" s="8">
        <v>2023</v>
      </c>
      <c r="E174" s="29">
        <v>3</v>
      </c>
      <c r="F174">
        <v>12</v>
      </c>
      <c r="G174">
        <v>64</v>
      </c>
      <c r="H174">
        <v>96</v>
      </c>
      <c r="I174">
        <v>48</v>
      </c>
      <c r="J174">
        <v>6.7</v>
      </c>
      <c r="K174" t="s">
        <v>56</v>
      </c>
      <c r="L174" t="s">
        <v>59</v>
      </c>
      <c r="M174" t="s">
        <v>86</v>
      </c>
      <c r="N174" t="s">
        <v>24</v>
      </c>
      <c r="O174" t="s">
        <v>52</v>
      </c>
      <c r="P174" t="s">
        <v>26</v>
      </c>
      <c r="Q174">
        <v>549</v>
      </c>
      <c r="R174">
        <v>507</v>
      </c>
    </row>
    <row r="175" spans="1:18">
      <c r="A175" t="s">
        <v>250</v>
      </c>
      <c r="B175" t="s">
        <v>44</v>
      </c>
      <c r="C175" t="s">
        <v>45</v>
      </c>
      <c r="D175" s="8">
        <v>2020</v>
      </c>
      <c r="E175" s="29">
        <v>6</v>
      </c>
      <c r="F175">
        <v>4</v>
      </c>
      <c r="G175">
        <v>512</v>
      </c>
      <c r="H175">
        <v>87</v>
      </c>
      <c r="I175">
        <v>12</v>
      </c>
      <c r="J175">
        <v>6.67</v>
      </c>
      <c r="K175" t="s">
        <v>46</v>
      </c>
      <c r="L175" t="s">
        <v>59</v>
      </c>
      <c r="M175" t="s">
        <v>60</v>
      </c>
      <c r="N175" t="s">
        <v>24</v>
      </c>
      <c r="O175" t="s">
        <v>25</v>
      </c>
      <c r="P175" t="s">
        <v>35</v>
      </c>
      <c r="Q175">
        <v>799</v>
      </c>
      <c r="R175">
        <v>728</v>
      </c>
    </row>
    <row r="176" spans="1:18">
      <c r="A176" t="s">
        <v>251</v>
      </c>
      <c r="B176" t="s">
        <v>64</v>
      </c>
      <c r="C176" t="s">
        <v>65</v>
      </c>
      <c r="D176" s="8">
        <v>2022</v>
      </c>
      <c r="E176" s="29">
        <v>4</v>
      </c>
      <c r="F176">
        <v>6</v>
      </c>
      <c r="G176">
        <v>128</v>
      </c>
      <c r="H176">
        <v>100</v>
      </c>
      <c r="I176">
        <v>50</v>
      </c>
      <c r="J176">
        <v>6.5</v>
      </c>
      <c r="K176" t="s">
        <v>66</v>
      </c>
      <c r="L176" t="s">
        <v>59</v>
      </c>
      <c r="M176" t="s">
        <v>47</v>
      </c>
      <c r="N176" t="s">
        <v>33</v>
      </c>
      <c r="O176" t="s">
        <v>52</v>
      </c>
      <c r="P176" t="s">
        <v>26</v>
      </c>
      <c r="Q176">
        <v>499</v>
      </c>
      <c r="R176">
        <v>450</v>
      </c>
    </row>
    <row r="177" spans="1:18">
      <c r="A177" t="s">
        <v>252</v>
      </c>
      <c r="B177" t="s">
        <v>73</v>
      </c>
      <c r="C177" t="s">
        <v>74</v>
      </c>
      <c r="D177" s="8">
        <v>2023</v>
      </c>
      <c r="E177" s="29">
        <v>3</v>
      </c>
      <c r="F177">
        <v>4</v>
      </c>
      <c r="G177">
        <v>64</v>
      </c>
      <c r="H177">
        <v>93</v>
      </c>
      <c r="I177">
        <v>50</v>
      </c>
      <c r="J177">
        <v>6.7</v>
      </c>
      <c r="K177" t="s">
        <v>75</v>
      </c>
      <c r="L177" t="s">
        <v>22</v>
      </c>
      <c r="M177" t="s">
        <v>86</v>
      </c>
      <c r="N177" t="s">
        <v>24</v>
      </c>
      <c r="O177" t="s">
        <v>52</v>
      </c>
      <c r="P177" t="s">
        <v>35</v>
      </c>
      <c r="Q177">
        <v>799</v>
      </c>
      <c r="R177">
        <v>542</v>
      </c>
    </row>
    <row r="178" spans="1:18">
      <c r="A178" t="s">
        <v>253</v>
      </c>
      <c r="B178" t="s">
        <v>64</v>
      </c>
      <c r="C178" t="s">
        <v>65</v>
      </c>
      <c r="D178" s="8">
        <v>2021</v>
      </c>
      <c r="E178" s="29">
        <v>5</v>
      </c>
      <c r="F178">
        <v>6</v>
      </c>
      <c r="G178">
        <v>512</v>
      </c>
      <c r="H178">
        <v>89</v>
      </c>
      <c r="I178">
        <v>64</v>
      </c>
      <c r="J178">
        <v>6.67</v>
      </c>
      <c r="K178" t="s">
        <v>66</v>
      </c>
      <c r="L178" t="s">
        <v>59</v>
      </c>
      <c r="M178" t="s">
        <v>47</v>
      </c>
      <c r="N178" t="s">
        <v>24</v>
      </c>
      <c r="O178" t="s">
        <v>48</v>
      </c>
      <c r="P178" t="s">
        <v>26</v>
      </c>
      <c r="Q178">
        <v>499</v>
      </c>
      <c r="R178">
        <v>483</v>
      </c>
    </row>
    <row r="179" spans="1:18">
      <c r="A179" t="s">
        <v>254</v>
      </c>
      <c r="B179" t="s">
        <v>73</v>
      </c>
      <c r="C179" t="s">
        <v>74</v>
      </c>
      <c r="D179" s="8">
        <v>2020</v>
      </c>
      <c r="E179" s="29">
        <v>6</v>
      </c>
      <c r="F179">
        <v>8</v>
      </c>
      <c r="G179">
        <v>128</v>
      </c>
      <c r="H179">
        <v>94</v>
      </c>
      <c r="I179">
        <v>108</v>
      </c>
      <c r="J179">
        <v>6.78</v>
      </c>
      <c r="K179" t="s">
        <v>75</v>
      </c>
      <c r="L179" t="s">
        <v>22</v>
      </c>
      <c r="M179" t="s">
        <v>60</v>
      </c>
      <c r="N179" t="s">
        <v>33</v>
      </c>
      <c r="O179" t="s">
        <v>87</v>
      </c>
      <c r="P179" t="s">
        <v>35</v>
      </c>
      <c r="Q179">
        <v>799</v>
      </c>
      <c r="R179">
        <v>561</v>
      </c>
    </row>
    <row r="180" spans="1:18">
      <c r="A180" t="s">
        <v>255</v>
      </c>
      <c r="B180" t="s">
        <v>54</v>
      </c>
      <c r="C180" t="s">
        <v>55</v>
      </c>
      <c r="D180" s="8">
        <v>2023</v>
      </c>
      <c r="E180" s="29">
        <v>3</v>
      </c>
      <c r="F180">
        <v>8</v>
      </c>
      <c r="G180">
        <v>128</v>
      </c>
      <c r="H180">
        <v>76</v>
      </c>
      <c r="I180">
        <v>108</v>
      </c>
      <c r="J180">
        <v>6.7</v>
      </c>
      <c r="K180" t="s">
        <v>56</v>
      </c>
      <c r="L180" t="s">
        <v>22</v>
      </c>
      <c r="M180" t="s">
        <v>40</v>
      </c>
      <c r="N180" t="s">
        <v>24</v>
      </c>
      <c r="O180" t="s">
        <v>48</v>
      </c>
      <c r="P180" t="s">
        <v>26</v>
      </c>
      <c r="Q180">
        <v>549</v>
      </c>
      <c r="R180">
        <v>388</v>
      </c>
    </row>
    <row r="181" spans="1:18">
      <c r="A181" t="s">
        <v>256</v>
      </c>
      <c r="B181" t="s">
        <v>37</v>
      </c>
      <c r="C181" t="s">
        <v>38</v>
      </c>
      <c r="D181" s="8">
        <v>2021</v>
      </c>
      <c r="E181" s="29">
        <v>5</v>
      </c>
      <c r="F181">
        <v>12</v>
      </c>
      <c r="G181">
        <v>128</v>
      </c>
      <c r="H181">
        <v>91</v>
      </c>
      <c r="I181">
        <v>50</v>
      </c>
      <c r="J181">
        <v>6.78</v>
      </c>
      <c r="K181" t="s">
        <v>39</v>
      </c>
      <c r="L181" t="s">
        <v>22</v>
      </c>
      <c r="M181" t="s">
        <v>47</v>
      </c>
      <c r="N181" t="s">
        <v>33</v>
      </c>
      <c r="O181" t="s">
        <v>52</v>
      </c>
      <c r="P181" t="s">
        <v>26</v>
      </c>
      <c r="Q181">
        <v>599</v>
      </c>
      <c r="R181">
        <v>453</v>
      </c>
    </row>
    <row r="182" spans="1:18">
      <c r="A182" t="s">
        <v>257</v>
      </c>
      <c r="B182" t="s">
        <v>89</v>
      </c>
      <c r="C182" t="s">
        <v>115</v>
      </c>
      <c r="D182" s="8">
        <v>2020</v>
      </c>
      <c r="E182" s="29">
        <v>6</v>
      </c>
      <c r="F182">
        <v>4</v>
      </c>
      <c r="G182">
        <v>64</v>
      </c>
      <c r="H182">
        <v>91</v>
      </c>
      <c r="I182">
        <v>48</v>
      </c>
      <c r="J182">
        <v>6.7</v>
      </c>
      <c r="K182" t="s">
        <v>116</v>
      </c>
      <c r="L182" t="s">
        <v>57</v>
      </c>
      <c r="M182" t="s">
        <v>60</v>
      </c>
      <c r="N182" t="s">
        <v>24</v>
      </c>
      <c r="O182" t="s">
        <v>87</v>
      </c>
      <c r="P182" t="s">
        <v>26</v>
      </c>
      <c r="Q182">
        <v>999</v>
      </c>
      <c r="R182">
        <v>525</v>
      </c>
    </row>
    <row r="183" spans="1:18">
      <c r="A183" t="s">
        <v>258</v>
      </c>
      <c r="B183" t="s">
        <v>89</v>
      </c>
      <c r="C183" t="s">
        <v>115</v>
      </c>
      <c r="D183" s="8">
        <v>2020</v>
      </c>
      <c r="E183" s="29">
        <v>6</v>
      </c>
      <c r="F183">
        <v>4</v>
      </c>
      <c r="G183">
        <v>128</v>
      </c>
      <c r="H183">
        <v>94</v>
      </c>
      <c r="I183">
        <v>48</v>
      </c>
      <c r="J183">
        <v>6.2</v>
      </c>
      <c r="K183" t="s">
        <v>116</v>
      </c>
      <c r="L183" t="s">
        <v>31</v>
      </c>
      <c r="M183" t="s">
        <v>60</v>
      </c>
      <c r="N183" t="s">
        <v>33</v>
      </c>
      <c r="O183" t="s">
        <v>25</v>
      </c>
      <c r="P183" t="s">
        <v>35</v>
      </c>
      <c r="Q183">
        <v>999</v>
      </c>
      <c r="R183">
        <v>903</v>
      </c>
    </row>
    <row r="184" spans="1:18">
      <c r="A184" t="s">
        <v>259</v>
      </c>
      <c r="B184" t="s">
        <v>19</v>
      </c>
      <c r="C184" t="s">
        <v>20</v>
      </c>
      <c r="D184" s="8">
        <v>2024</v>
      </c>
      <c r="E184" s="29">
        <v>2</v>
      </c>
      <c r="F184">
        <v>8</v>
      </c>
      <c r="G184">
        <v>256</v>
      </c>
      <c r="H184">
        <v>98</v>
      </c>
      <c r="I184">
        <v>12</v>
      </c>
      <c r="J184">
        <v>6.67</v>
      </c>
      <c r="K184" t="s">
        <v>21</v>
      </c>
      <c r="L184" t="s">
        <v>31</v>
      </c>
      <c r="M184" t="s">
        <v>60</v>
      </c>
      <c r="N184" t="s">
        <v>24</v>
      </c>
      <c r="O184" t="s">
        <v>61</v>
      </c>
      <c r="P184" t="s">
        <v>35</v>
      </c>
      <c r="Q184">
        <v>599</v>
      </c>
      <c r="R184">
        <v>589</v>
      </c>
    </row>
    <row r="185" spans="1:18">
      <c r="A185" t="s">
        <v>260</v>
      </c>
      <c r="B185" t="s">
        <v>77</v>
      </c>
      <c r="C185" t="s">
        <v>78</v>
      </c>
      <c r="D185" s="8">
        <v>2024</v>
      </c>
      <c r="E185" s="29">
        <v>2</v>
      </c>
      <c r="F185">
        <v>6</v>
      </c>
      <c r="G185">
        <v>512</v>
      </c>
      <c r="H185">
        <v>86</v>
      </c>
      <c r="I185">
        <v>12</v>
      </c>
      <c r="J185">
        <v>6.2</v>
      </c>
      <c r="K185" t="s">
        <v>79</v>
      </c>
      <c r="L185" t="s">
        <v>22</v>
      </c>
      <c r="M185" t="s">
        <v>32</v>
      </c>
      <c r="N185" t="s">
        <v>33</v>
      </c>
      <c r="O185" t="s">
        <v>52</v>
      </c>
      <c r="P185" t="s">
        <v>35</v>
      </c>
      <c r="Q185">
        <v>699</v>
      </c>
      <c r="R185">
        <v>567</v>
      </c>
    </row>
    <row r="186" spans="1:18">
      <c r="A186" t="s">
        <v>261</v>
      </c>
      <c r="B186" t="s">
        <v>89</v>
      </c>
      <c r="C186" t="s">
        <v>115</v>
      </c>
      <c r="D186" s="8">
        <v>2024</v>
      </c>
      <c r="E186" s="29">
        <v>2</v>
      </c>
      <c r="F186">
        <v>4</v>
      </c>
      <c r="G186">
        <v>256</v>
      </c>
      <c r="H186">
        <v>100</v>
      </c>
      <c r="I186">
        <v>108</v>
      </c>
      <c r="J186">
        <v>6.2</v>
      </c>
      <c r="K186" t="s">
        <v>116</v>
      </c>
      <c r="L186" t="s">
        <v>59</v>
      </c>
      <c r="M186" t="s">
        <v>60</v>
      </c>
      <c r="N186" t="s">
        <v>24</v>
      </c>
      <c r="O186" t="s">
        <v>61</v>
      </c>
      <c r="P186" t="s">
        <v>35</v>
      </c>
      <c r="Q186">
        <v>999</v>
      </c>
      <c r="R186">
        <v>830</v>
      </c>
    </row>
    <row r="187" spans="1:18">
      <c r="A187" t="s">
        <v>262</v>
      </c>
      <c r="B187" t="s">
        <v>19</v>
      </c>
      <c r="C187" t="s">
        <v>20</v>
      </c>
      <c r="D187" s="8">
        <v>2020</v>
      </c>
      <c r="E187" s="29">
        <v>6</v>
      </c>
      <c r="F187">
        <v>12</v>
      </c>
      <c r="G187">
        <v>256</v>
      </c>
      <c r="H187">
        <v>98</v>
      </c>
      <c r="I187">
        <v>64</v>
      </c>
      <c r="J187">
        <v>6.67</v>
      </c>
      <c r="K187" t="s">
        <v>21</v>
      </c>
      <c r="L187" t="s">
        <v>57</v>
      </c>
      <c r="M187" t="s">
        <v>47</v>
      </c>
      <c r="N187" t="s">
        <v>33</v>
      </c>
      <c r="O187" t="s">
        <v>87</v>
      </c>
      <c r="P187" t="s">
        <v>35</v>
      </c>
      <c r="Q187">
        <v>599</v>
      </c>
      <c r="R187">
        <v>364</v>
      </c>
    </row>
    <row r="188" spans="1:18">
      <c r="A188" t="s">
        <v>263</v>
      </c>
      <c r="B188" t="s">
        <v>37</v>
      </c>
      <c r="C188" t="s">
        <v>38</v>
      </c>
      <c r="D188" s="8">
        <v>2020</v>
      </c>
      <c r="E188" s="29">
        <v>6</v>
      </c>
      <c r="F188">
        <v>8</v>
      </c>
      <c r="G188">
        <v>512</v>
      </c>
      <c r="H188">
        <v>81</v>
      </c>
      <c r="I188">
        <v>50</v>
      </c>
      <c r="J188">
        <v>6.78</v>
      </c>
      <c r="K188" t="s">
        <v>39</v>
      </c>
      <c r="L188" t="s">
        <v>22</v>
      </c>
      <c r="M188" t="s">
        <v>86</v>
      </c>
      <c r="N188" t="s">
        <v>33</v>
      </c>
      <c r="O188" t="s">
        <v>48</v>
      </c>
      <c r="P188" t="s">
        <v>26</v>
      </c>
      <c r="Q188">
        <v>599</v>
      </c>
      <c r="R188">
        <v>481</v>
      </c>
    </row>
    <row r="189" spans="1:18">
      <c r="A189" t="s">
        <v>264</v>
      </c>
      <c r="B189" t="s">
        <v>77</v>
      </c>
      <c r="C189" t="s">
        <v>78</v>
      </c>
      <c r="D189" s="8">
        <v>2020</v>
      </c>
      <c r="E189" s="29">
        <v>6</v>
      </c>
      <c r="F189">
        <v>4</v>
      </c>
      <c r="G189">
        <v>64</v>
      </c>
      <c r="H189">
        <v>89</v>
      </c>
      <c r="I189">
        <v>64</v>
      </c>
      <c r="J189">
        <v>6.4</v>
      </c>
      <c r="K189" t="s">
        <v>79</v>
      </c>
      <c r="L189" t="s">
        <v>22</v>
      </c>
      <c r="M189" t="s">
        <v>32</v>
      </c>
      <c r="N189" t="s">
        <v>24</v>
      </c>
      <c r="O189" t="s">
        <v>87</v>
      </c>
      <c r="P189" t="s">
        <v>26</v>
      </c>
      <c r="Q189">
        <v>699</v>
      </c>
      <c r="R189">
        <v>475</v>
      </c>
    </row>
    <row r="190" spans="1:18">
      <c r="A190" t="s">
        <v>265</v>
      </c>
      <c r="B190" t="s">
        <v>44</v>
      </c>
      <c r="C190" t="s">
        <v>45</v>
      </c>
      <c r="D190" s="8">
        <v>2022</v>
      </c>
      <c r="E190" s="29">
        <v>4</v>
      </c>
      <c r="F190">
        <v>6</v>
      </c>
      <c r="G190">
        <v>128</v>
      </c>
      <c r="H190">
        <v>82</v>
      </c>
      <c r="I190">
        <v>48</v>
      </c>
      <c r="J190">
        <v>6.1</v>
      </c>
      <c r="K190" t="s">
        <v>46</v>
      </c>
      <c r="L190" t="s">
        <v>57</v>
      </c>
      <c r="M190" t="s">
        <v>32</v>
      </c>
      <c r="N190" t="s">
        <v>24</v>
      </c>
      <c r="O190" t="s">
        <v>41</v>
      </c>
      <c r="P190" t="s">
        <v>26</v>
      </c>
      <c r="Q190">
        <v>799</v>
      </c>
      <c r="R190">
        <v>448</v>
      </c>
    </row>
    <row r="191" spans="1:18">
      <c r="A191" t="s">
        <v>266</v>
      </c>
      <c r="B191" t="s">
        <v>19</v>
      </c>
      <c r="C191" t="s">
        <v>20</v>
      </c>
      <c r="D191" s="8">
        <v>2023</v>
      </c>
      <c r="E191" s="29">
        <v>3</v>
      </c>
      <c r="F191">
        <v>12</v>
      </c>
      <c r="G191">
        <v>256</v>
      </c>
      <c r="H191">
        <v>78</v>
      </c>
      <c r="I191">
        <v>50</v>
      </c>
      <c r="J191">
        <v>6.67</v>
      </c>
      <c r="K191" t="s">
        <v>21</v>
      </c>
      <c r="L191" t="s">
        <v>59</v>
      </c>
      <c r="M191" t="s">
        <v>23</v>
      </c>
      <c r="N191" t="s">
        <v>33</v>
      </c>
      <c r="O191" t="s">
        <v>87</v>
      </c>
      <c r="P191" t="s">
        <v>26</v>
      </c>
      <c r="Q191">
        <v>599</v>
      </c>
      <c r="R191">
        <v>565</v>
      </c>
    </row>
    <row r="192" spans="1:18">
      <c r="A192" t="s">
        <v>267</v>
      </c>
      <c r="B192" t="s">
        <v>89</v>
      </c>
      <c r="C192" t="s">
        <v>115</v>
      </c>
      <c r="D192" s="8">
        <v>2023</v>
      </c>
      <c r="E192" s="29">
        <v>3</v>
      </c>
      <c r="F192">
        <v>4</v>
      </c>
      <c r="G192">
        <v>512</v>
      </c>
      <c r="H192">
        <v>81</v>
      </c>
      <c r="I192">
        <v>108</v>
      </c>
      <c r="J192">
        <v>6.5</v>
      </c>
      <c r="K192" t="s">
        <v>116</v>
      </c>
      <c r="L192" t="s">
        <v>59</v>
      </c>
      <c r="M192" t="s">
        <v>86</v>
      </c>
      <c r="N192" t="s">
        <v>33</v>
      </c>
      <c r="O192" t="s">
        <v>52</v>
      </c>
      <c r="P192" t="s">
        <v>35</v>
      </c>
      <c r="Q192">
        <v>999</v>
      </c>
      <c r="R192">
        <v>889</v>
      </c>
    </row>
    <row r="193" spans="1:18">
      <c r="A193" t="s">
        <v>268</v>
      </c>
      <c r="B193" t="s">
        <v>68</v>
      </c>
      <c r="C193" t="s">
        <v>81</v>
      </c>
      <c r="D193" s="8">
        <v>2021</v>
      </c>
      <c r="E193" s="29">
        <v>5</v>
      </c>
      <c r="F193">
        <v>6</v>
      </c>
      <c r="G193">
        <v>128</v>
      </c>
      <c r="H193">
        <v>76</v>
      </c>
      <c r="I193">
        <v>50</v>
      </c>
      <c r="J193">
        <v>6.2</v>
      </c>
      <c r="K193" t="s">
        <v>82</v>
      </c>
      <c r="L193" t="s">
        <v>22</v>
      </c>
      <c r="M193" t="s">
        <v>60</v>
      </c>
      <c r="N193" t="s">
        <v>33</v>
      </c>
      <c r="O193" t="s">
        <v>87</v>
      </c>
      <c r="P193" t="s">
        <v>26</v>
      </c>
      <c r="Q193">
        <v>299</v>
      </c>
      <c r="R193">
        <v>260</v>
      </c>
    </row>
    <row r="194" spans="1:18">
      <c r="A194" t="s">
        <v>269</v>
      </c>
      <c r="B194" t="s">
        <v>28</v>
      </c>
      <c r="C194" t="s">
        <v>29</v>
      </c>
      <c r="D194" s="8">
        <v>2021</v>
      </c>
      <c r="E194" s="29">
        <v>5</v>
      </c>
      <c r="F194">
        <v>4</v>
      </c>
      <c r="G194">
        <v>128</v>
      </c>
      <c r="H194">
        <v>82</v>
      </c>
      <c r="I194">
        <v>108</v>
      </c>
      <c r="J194">
        <v>6.67</v>
      </c>
      <c r="K194" t="s">
        <v>30</v>
      </c>
      <c r="L194" t="s">
        <v>31</v>
      </c>
      <c r="M194" t="s">
        <v>47</v>
      </c>
      <c r="N194" t="s">
        <v>33</v>
      </c>
      <c r="O194" t="s">
        <v>48</v>
      </c>
      <c r="P194" t="s">
        <v>26</v>
      </c>
      <c r="Q194">
        <v>599</v>
      </c>
      <c r="R194">
        <v>543</v>
      </c>
    </row>
    <row r="195" spans="1:18">
      <c r="A195" t="s">
        <v>270</v>
      </c>
      <c r="B195" t="s">
        <v>89</v>
      </c>
      <c r="C195" t="s">
        <v>115</v>
      </c>
      <c r="D195" s="8">
        <v>2022</v>
      </c>
      <c r="E195" s="29">
        <v>4</v>
      </c>
      <c r="F195">
        <v>8</v>
      </c>
      <c r="G195">
        <v>64</v>
      </c>
      <c r="H195">
        <v>82</v>
      </c>
      <c r="I195">
        <v>64</v>
      </c>
      <c r="J195">
        <v>6.78</v>
      </c>
      <c r="K195" t="s">
        <v>116</v>
      </c>
      <c r="L195" t="s">
        <v>22</v>
      </c>
      <c r="M195" t="s">
        <v>40</v>
      </c>
      <c r="N195" t="s">
        <v>33</v>
      </c>
      <c r="O195" t="s">
        <v>48</v>
      </c>
      <c r="P195" t="s">
        <v>35</v>
      </c>
      <c r="Q195">
        <v>999</v>
      </c>
      <c r="R195">
        <v>635</v>
      </c>
    </row>
    <row r="196" spans="1:18">
      <c r="A196" t="s">
        <v>271</v>
      </c>
      <c r="B196" t="s">
        <v>73</v>
      </c>
      <c r="C196" t="s">
        <v>122</v>
      </c>
      <c r="D196" s="8">
        <v>2022</v>
      </c>
      <c r="E196" s="29">
        <v>4</v>
      </c>
      <c r="F196">
        <v>12</v>
      </c>
      <c r="G196">
        <v>256</v>
      </c>
      <c r="H196">
        <v>93</v>
      </c>
      <c r="I196">
        <v>48</v>
      </c>
      <c r="J196">
        <v>6.7</v>
      </c>
      <c r="K196" t="s">
        <v>123</v>
      </c>
      <c r="L196" t="s">
        <v>57</v>
      </c>
      <c r="M196" t="s">
        <v>23</v>
      </c>
      <c r="N196" t="s">
        <v>33</v>
      </c>
      <c r="O196" t="s">
        <v>25</v>
      </c>
      <c r="P196" t="s">
        <v>26</v>
      </c>
      <c r="Q196">
        <v>699</v>
      </c>
      <c r="R196">
        <v>398</v>
      </c>
    </row>
    <row r="197" spans="1:18">
      <c r="A197" t="s">
        <v>272</v>
      </c>
      <c r="B197" t="s">
        <v>19</v>
      </c>
      <c r="C197" t="s">
        <v>20</v>
      </c>
      <c r="D197" s="8">
        <v>2020</v>
      </c>
      <c r="E197" s="29">
        <v>6</v>
      </c>
      <c r="F197">
        <v>12</v>
      </c>
      <c r="G197">
        <v>128</v>
      </c>
      <c r="H197">
        <v>100</v>
      </c>
      <c r="I197">
        <v>108</v>
      </c>
      <c r="J197">
        <v>6.67</v>
      </c>
      <c r="K197" t="s">
        <v>21</v>
      </c>
      <c r="L197" t="s">
        <v>31</v>
      </c>
      <c r="M197" t="s">
        <v>23</v>
      </c>
      <c r="N197" t="s">
        <v>24</v>
      </c>
      <c r="O197" t="s">
        <v>84</v>
      </c>
      <c r="P197" t="s">
        <v>26</v>
      </c>
      <c r="Q197">
        <v>599</v>
      </c>
      <c r="R197">
        <v>589</v>
      </c>
    </row>
    <row r="198" spans="1:18">
      <c r="A198" t="s">
        <v>273</v>
      </c>
      <c r="B198" t="s">
        <v>64</v>
      </c>
      <c r="C198" t="s">
        <v>65</v>
      </c>
      <c r="D198" s="8">
        <v>2020</v>
      </c>
      <c r="E198" s="29">
        <v>6</v>
      </c>
      <c r="F198">
        <v>6</v>
      </c>
      <c r="G198">
        <v>128</v>
      </c>
      <c r="H198">
        <v>78</v>
      </c>
      <c r="I198">
        <v>108</v>
      </c>
      <c r="J198">
        <v>6.1</v>
      </c>
      <c r="K198" t="s">
        <v>66</v>
      </c>
      <c r="L198" t="s">
        <v>31</v>
      </c>
      <c r="M198" t="s">
        <v>86</v>
      </c>
      <c r="N198" t="s">
        <v>24</v>
      </c>
      <c r="O198" t="s">
        <v>87</v>
      </c>
      <c r="P198" t="s">
        <v>35</v>
      </c>
      <c r="Q198">
        <v>499</v>
      </c>
      <c r="R198">
        <v>474</v>
      </c>
    </row>
    <row r="199" spans="1:18">
      <c r="A199" t="s">
        <v>274</v>
      </c>
      <c r="B199" t="s">
        <v>37</v>
      </c>
      <c r="C199" t="s">
        <v>38</v>
      </c>
      <c r="D199" s="8">
        <v>2022</v>
      </c>
      <c r="E199" s="29">
        <v>4</v>
      </c>
      <c r="F199">
        <v>8</v>
      </c>
      <c r="G199">
        <v>512</v>
      </c>
      <c r="H199">
        <v>98</v>
      </c>
      <c r="I199">
        <v>64</v>
      </c>
      <c r="J199">
        <v>6.2</v>
      </c>
      <c r="K199" t="s">
        <v>39</v>
      </c>
      <c r="L199" t="s">
        <v>31</v>
      </c>
      <c r="M199" t="s">
        <v>86</v>
      </c>
      <c r="N199" t="s">
        <v>24</v>
      </c>
      <c r="O199" t="s">
        <v>61</v>
      </c>
      <c r="P199" t="s">
        <v>26</v>
      </c>
      <c r="Q199">
        <v>599</v>
      </c>
      <c r="R199">
        <v>589</v>
      </c>
    </row>
    <row r="200" spans="1:18">
      <c r="A200" t="s">
        <v>275</v>
      </c>
      <c r="B200" t="s">
        <v>77</v>
      </c>
      <c r="C200" t="s">
        <v>78</v>
      </c>
      <c r="D200" s="8">
        <v>2023</v>
      </c>
      <c r="E200" s="29">
        <v>3</v>
      </c>
      <c r="F200">
        <v>8</v>
      </c>
      <c r="G200">
        <v>128</v>
      </c>
      <c r="H200">
        <v>97</v>
      </c>
      <c r="I200">
        <v>108</v>
      </c>
      <c r="J200">
        <v>6.2</v>
      </c>
      <c r="K200" t="s">
        <v>79</v>
      </c>
      <c r="L200" t="s">
        <v>22</v>
      </c>
      <c r="M200" t="s">
        <v>32</v>
      </c>
      <c r="N200" t="s">
        <v>24</v>
      </c>
      <c r="O200" t="s">
        <v>48</v>
      </c>
      <c r="P200" t="s">
        <v>26</v>
      </c>
      <c r="Q200">
        <v>699</v>
      </c>
      <c r="R200">
        <v>502</v>
      </c>
    </row>
    <row r="201" spans="1:18">
      <c r="A201" t="s">
        <v>276</v>
      </c>
      <c r="B201" t="s">
        <v>37</v>
      </c>
      <c r="C201" t="s">
        <v>38</v>
      </c>
      <c r="D201" s="8">
        <v>2020</v>
      </c>
      <c r="E201" s="29">
        <v>6</v>
      </c>
      <c r="F201">
        <v>12</v>
      </c>
      <c r="G201">
        <v>256</v>
      </c>
      <c r="H201">
        <v>83</v>
      </c>
      <c r="I201">
        <v>108</v>
      </c>
      <c r="J201">
        <v>6.67</v>
      </c>
      <c r="K201" t="s">
        <v>39</v>
      </c>
      <c r="L201" t="s">
        <v>57</v>
      </c>
      <c r="M201" t="s">
        <v>47</v>
      </c>
      <c r="N201" t="s">
        <v>24</v>
      </c>
      <c r="O201" t="s">
        <v>61</v>
      </c>
      <c r="P201" t="s">
        <v>26</v>
      </c>
      <c r="Q201">
        <v>599</v>
      </c>
      <c r="R201">
        <v>346</v>
      </c>
    </row>
    <row r="202" spans="1:18">
      <c r="A202" t="s">
        <v>277</v>
      </c>
      <c r="B202" t="s">
        <v>44</v>
      </c>
      <c r="C202" t="s">
        <v>45</v>
      </c>
      <c r="D202" s="8">
        <v>2022</v>
      </c>
      <c r="E202" s="29">
        <v>4</v>
      </c>
      <c r="F202">
        <v>4</v>
      </c>
      <c r="G202">
        <v>256</v>
      </c>
      <c r="H202">
        <v>85</v>
      </c>
      <c r="I202">
        <v>50</v>
      </c>
      <c r="J202">
        <v>6.5</v>
      </c>
      <c r="K202" t="s">
        <v>46</v>
      </c>
      <c r="L202" t="s">
        <v>31</v>
      </c>
      <c r="M202" t="s">
        <v>60</v>
      </c>
      <c r="N202" t="s">
        <v>24</v>
      </c>
      <c r="O202" t="s">
        <v>84</v>
      </c>
      <c r="P202" t="s">
        <v>26</v>
      </c>
      <c r="Q202">
        <v>799</v>
      </c>
      <c r="R202">
        <v>752</v>
      </c>
    </row>
    <row r="203" spans="1:18">
      <c r="A203" t="s">
        <v>278</v>
      </c>
      <c r="B203" t="s">
        <v>37</v>
      </c>
      <c r="C203" t="s">
        <v>38</v>
      </c>
      <c r="D203" s="8">
        <v>2023</v>
      </c>
      <c r="E203" s="29">
        <v>3</v>
      </c>
      <c r="F203">
        <v>8</v>
      </c>
      <c r="G203">
        <v>256</v>
      </c>
      <c r="H203">
        <v>78</v>
      </c>
      <c r="I203">
        <v>108</v>
      </c>
      <c r="J203">
        <v>6.67</v>
      </c>
      <c r="K203" t="s">
        <v>39</v>
      </c>
      <c r="L203" t="s">
        <v>57</v>
      </c>
      <c r="M203" t="s">
        <v>40</v>
      </c>
      <c r="N203" t="s">
        <v>33</v>
      </c>
      <c r="O203" t="s">
        <v>61</v>
      </c>
      <c r="P203" t="s">
        <v>35</v>
      </c>
      <c r="Q203">
        <v>599</v>
      </c>
      <c r="R203">
        <v>349</v>
      </c>
    </row>
    <row r="204" spans="1:18">
      <c r="A204" t="s">
        <v>279</v>
      </c>
      <c r="B204" t="s">
        <v>89</v>
      </c>
      <c r="C204" t="s">
        <v>90</v>
      </c>
      <c r="D204" s="8">
        <v>2023</v>
      </c>
      <c r="E204" s="29">
        <v>3</v>
      </c>
      <c r="F204">
        <v>12</v>
      </c>
      <c r="G204">
        <v>128</v>
      </c>
      <c r="H204">
        <v>87</v>
      </c>
      <c r="I204">
        <v>108</v>
      </c>
      <c r="J204">
        <v>6.4</v>
      </c>
      <c r="K204" t="s">
        <v>91</v>
      </c>
      <c r="L204" t="s">
        <v>59</v>
      </c>
      <c r="M204" t="s">
        <v>86</v>
      </c>
      <c r="N204" t="s">
        <v>24</v>
      </c>
      <c r="O204" t="s">
        <v>41</v>
      </c>
      <c r="P204" t="s">
        <v>26</v>
      </c>
      <c r="Q204">
        <v>449</v>
      </c>
      <c r="R204">
        <v>401</v>
      </c>
    </row>
    <row r="205" spans="1:18">
      <c r="A205" t="s">
        <v>280</v>
      </c>
      <c r="B205" t="s">
        <v>44</v>
      </c>
      <c r="C205" t="s">
        <v>45</v>
      </c>
      <c r="D205" s="8">
        <v>2022</v>
      </c>
      <c r="E205" s="29">
        <v>4</v>
      </c>
      <c r="F205">
        <v>4</v>
      </c>
      <c r="G205">
        <v>64</v>
      </c>
      <c r="H205">
        <v>87</v>
      </c>
      <c r="I205">
        <v>108</v>
      </c>
      <c r="J205">
        <v>6.78</v>
      </c>
      <c r="K205" t="s">
        <v>46</v>
      </c>
      <c r="L205" t="s">
        <v>59</v>
      </c>
      <c r="M205" t="s">
        <v>47</v>
      </c>
      <c r="N205" t="s">
        <v>24</v>
      </c>
      <c r="O205" t="s">
        <v>34</v>
      </c>
      <c r="P205" t="s">
        <v>26</v>
      </c>
      <c r="Q205">
        <v>799</v>
      </c>
      <c r="R205">
        <v>628</v>
      </c>
    </row>
    <row r="206" spans="1:18">
      <c r="A206" t="s">
        <v>281</v>
      </c>
      <c r="B206" t="s">
        <v>64</v>
      </c>
      <c r="C206" t="s">
        <v>65</v>
      </c>
      <c r="D206" s="8">
        <v>2024</v>
      </c>
      <c r="E206" s="29">
        <v>2</v>
      </c>
      <c r="F206">
        <v>8</v>
      </c>
      <c r="G206">
        <v>64</v>
      </c>
      <c r="H206">
        <v>99</v>
      </c>
      <c r="I206">
        <v>12</v>
      </c>
      <c r="J206">
        <v>6.78</v>
      </c>
      <c r="K206" t="s">
        <v>66</v>
      </c>
      <c r="L206" t="s">
        <v>22</v>
      </c>
      <c r="M206" t="s">
        <v>40</v>
      </c>
      <c r="N206" t="s">
        <v>33</v>
      </c>
      <c r="O206" t="s">
        <v>61</v>
      </c>
      <c r="P206" t="s">
        <v>26</v>
      </c>
      <c r="Q206">
        <v>499</v>
      </c>
      <c r="R206">
        <v>379</v>
      </c>
    </row>
    <row r="207" spans="1:18">
      <c r="A207" t="s">
        <v>282</v>
      </c>
      <c r="B207" t="s">
        <v>28</v>
      </c>
      <c r="C207" t="s">
        <v>29</v>
      </c>
      <c r="D207" s="8">
        <v>2024</v>
      </c>
      <c r="E207" s="29">
        <v>2</v>
      </c>
      <c r="F207">
        <v>8</v>
      </c>
      <c r="G207">
        <v>256</v>
      </c>
      <c r="H207">
        <v>83</v>
      </c>
      <c r="I207">
        <v>64</v>
      </c>
      <c r="J207">
        <v>6.7</v>
      </c>
      <c r="K207" t="s">
        <v>30</v>
      </c>
      <c r="L207" t="s">
        <v>57</v>
      </c>
      <c r="M207" t="s">
        <v>86</v>
      </c>
      <c r="N207" t="s">
        <v>24</v>
      </c>
      <c r="O207" t="s">
        <v>34</v>
      </c>
      <c r="P207" t="s">
        <v>35</v>
      </c>
      <c r="Q207">
        <v>599</v>
      </c>
      <c r="R207">
        <v>346</v>
      </c>
    </row>
    <row r="208" spans="1:18">
      <c r="A208" t="s">
        <v>283</v>
      </c>
      <c r="B208" t="s">
        <v>28</v>
      </c>
      <c r="C208" t="s">
        <v>29</v>
      </c>
      <c r="D208" s="8">
        <v>2021</v>
      </c>
      <c r="E208" s="29">
        <v>5</v>
      </c>
      <c r="F208">
        <v>12</v>
      </c>
      <c r="G208">
        <v>64</v>
      </c>
      <c r="H208">
        <v>93</v>
      </c>
      <c r="I208">
        <v>12</v>
      </c>
      <c r="J208">
        <v>6.5</v>
      </c>
      <c r="K208" t="s">
        <v>30</v>
      </c>
      <c r="L208" t="s">
        <v>22</v>
      </c>
      <c r="M208" t="s">
        <v>60</v>
      </c>
      <c r="N208" t="s">
        <v>33</v>
      </c>
      <c r="O208" t="s">
        <v>48</v>
      </c>
      <c r="P208" t="s">
        <v>35</v>
      </c>
      <c r="Q208">
        <v>599</v>
      </c>
      <c r="R208">
        <v>437</v>
      </c>
    </row>
    <row r="209" spans="1:18">
      <c r="A209" t="s">
        <v>284</v>
      </c>
      <c r="B209" t="s">
        <v>64</v>
      </c>
      <c r="C209" t="s">
        <v>65</v>
      </c>
      <c r="D209" s="8">
        <v>2020</v>
      </c>
      <c r="E209" s="29">
        <v>6</v>
      </c>
      <c r="F209">
        <v>4</v>
      </c>
      <c r="G209">
        <v>128</v>
      </c>
      <c r="H209">
        <v>80</v>
      </c>
      <c r="I209">
        <v>48</v>
      </c>
      <c r="J209">
        <v>6.2</v>
      </c>
      <c r="K209" t="s">
        <v>66</v>
      </c>
      <c r="L209" t="s">
        <v>22</v>
      </c>
      <c r="M209" t="s">
        <v>60</v>
      </c>
      <c r="N209" t="s">
        <v>24</v>
      </c>
      <c r="O209" t="s">
        <v>84</v>
      </c>
      <c r="P209" t="s">
        <v>35</v>
      </c>
      <c r="Q209">
        <v>499</v>
      </c>
      <c r="R209">
        <v>323</v>
      </c>
    </row>
    <row r="210" spans="1:18">
      <c r="A210" t="s">
        <v>285</v>
      </c>
      <c r="B210" t="s">
        <v>54</v>
      </c>
      <c r="C210" t="s">
        <v>55</v>
      </c>
      <c r="D210" s="8">
        <v>2022</v>
      </c>
      <c r="E210" s="29">
        <v>4</v>
      </c>
      <c r="F210">
        <v>12</v>
      </c>
      <c r="G210">
        <v>512</v>
      </c>
      <c r="H210">
        <v>83</v>
      </c>
      <c r="I210">
        <v>50</v>
      </c>
      <c r="J210">
        <v>6.2</v>
      </c>
      <c r="K210" t="s">
        <v>56</v>
      </c>
      <c r="L210" t="s">
        <v>59</v>
      </c>
      <c r="M210" t="s">
        <v>47</v>
      </c>
      <c r="N210" t="s">
        <v>33</v>
      </c>
      <c r="O210" t="s">
        <v>87</v>
      </c>
      <c r="P210" t="s">
        <v>26</v>
      </c>
      <c r="Q210">
        <v>549</v>
      </c>
      <c r="R210">
        <v>539</v>
      </c>
    </row>
    <row r="211" spans="1:18">
      <c r="A211" t="s">
        <v>286</v>
      </c>
      <c r="B211" t="s">
        <v>64</v>
      </c>
      <c r="C211" t="s">
        <v>65</v>
      </c>
      <c r="D211" s="8">
        <v>2020</v>
      </c>
      <c r="E211" s="29">
        <v>6</v>
      </c>
      <c r="F211">
        <v>4</v>
      </c>
      <c r="G211">
        <v>128</v>
      </c>
      <c r="H211">
        <v>75</v>
      </c>
      <c r="I211">
        <v>48</v>
      </c>
      <c r="J211">
        <v>6.1</v>
      </c>
      <c r="K211" t="s">
        <v>66</v>
      </c>
      <c r="L211" t="s">
        <v>31</v>
      </c>
      <c r="M211" t="s">
        <v>86</v>
      </c>
      <c r="N211" t="s">
        <v>24</v>
      </c>
      <c r="O211" t="s">
        <v>52</v>
      </c>
      <c r="P211" t="s">
        <v>35</v>
      </c>
      <c r="Q211">
        <v>499</v>
      </c>
      <c r="R211">
        <v>489</v>
      </c>
    </row>
    <row r="212" spans="1:18">
      <c r="A212" t="s">
        <v>287</v>
      </c>
      <c r="B212" t="s">
        <v>28</v>
      </c>
      <c r="C212" t="s">
        <v>29</v>
      </c>
      <c r="D212" s="8">
        <v>2020</v>
      </c>
      <c r="E212" s="29">
        <v>6</v>
      </c>
      <c r="F212">
        <v>8</v>
      </c>
      <c r="G212">
        <v>128</v>
      </c>
      <c r="H212">
        <v>75</v>
      </c>
      <c r="I212">
        <v>64</v>
      </c>
      <c r="J212">
        <v>6.78</v>
      </c>
      <c r="K212" t="s">
        <v>30</v>
      </c>
      <c r="L212" t="s">
        <v>22</v>
      </c>
      <c r="M212" t="s">
        <v>60</v>
      </c>
      <c r="N212" t="s">
        <v>33</v>
      </c>
      <c r="O212" t="s">
        <v>84</v>
      </c>
      <c r="P212" t="s">
        <v>26</v>
      </c>
      <c r="Q212">
        <v>599</v>
      </c>
      <c r="R212">
        <v>416</v>
      </c>
    </row>
    <row r="213" spans="1:18">
      <c r="A213" t="s">
        <v>288</v>
      </c>
      <c r="B213" t="s">
        <v>77</v>
      </c>
      <c r="C213" t="s">
        <v>78</v>
      </c>
      <c r="D213" s="8">
        <v>2024</v>
      </c>
      <c r="E213" s="29">
        <v>2</v>
      </c>
      <c r="F213">
        <v>12</v>
      </c>
      <c r="G213">
        <v>64</v>
      </c>
      <c r="H213">
        <v>88</v>
      </c>
      <c r="I213">
        <v>48</v>
      </c>
      <c r="J213">
        <v>6.5</v>
      </c>
      <c r="K213" t="s">
        <v>79</v>
      </c>
      <c r="L213" t="s">
        <v>22</v>
      </c>
      <c r="M213" t="s">
        <v>86</v>
      </c>
      <c r="N213" t="s">
        <v>24</v>
      </c>
      <c r="O213" t="s">
        <v>48</v>
      </c>
      <c r="P213" t="s">
        <v>26</v>
      </c>
      <c r="Q213">
        <v>699</v>
      </c>
      <c r="R213">
        <v>482</v>
      </c>
    </row>
    <row r="214" spans="1:18">
      <c r="A214" t="s">
        <v>289</v>
      </c>
      <c r="B214" t="s">
        <v>64</v>
      </c>
      <c r="C214" t="s">
        <v>65</v>
      </c>
      <c r="D214" s="8">
        <v>2022</v>
      </c>
      <c r="E214" s="29">
        <v>4</v>
      </c>
      <c r="F214">
        <v>8</v>
      </c>
      <c r="G214">
        <v>128</v>
      </c>
      <c r="H214">
        <v>99</v>
      </c>
      <c r="I214">
        <v>64</v>
      </c>
      <c r="J214">
        <v>6.4</v>
      </c>
      <c r="K214" t="s">
        <v>66</v>
      </c>
      <c r="L214" t="s">
        <v>59</v>
      </c>
      <c r="M214" t="s">
        <v>86</v>
      </c>
      <c r="N214" t="s">
        <v>33</v>
      </c>
      <c r="O214" t="s">
        <v>41</v>
      </c>
      <c r="P214" t="s">
        <v>26</v>
      </c>
      <c r="Q214">
        <v>499</v>
      </c>
      <c r="R214">
        <v>447</v>
      </c>
    </row>
    <row r="215" spans="1:18">
      <c r="A215" t="s">
        <v>290</v>
      </c>
      <c r="B215" t="s">
        <v>37</v>
      </c>
      <c r="C215" t="s">
        <v>38</v>
      </c>
      <c r="D215" s="8">
        <v>2024</v>
      </c>
      <c r="E215" s="29">
        <v>2</v>
      </c>
      <c r="F215">
        <v>8</v>
      </c>
      <c r="G215">
        <v>64</v>
      </c>
      <c r="H215">
        <v>97</v>
      </c>
      <c r="I215">
        <v>64</v>
      </c>
      <c r="J215">
        <v>6.7</v>
      </c>
      <c r="K215" t="s">
        <v>39</v>
      </c>
      <c r="L215" t="s">
        <v>59</v>
      </c>
      <c r="M215" t="s">
        <v>47</v>
      </c>
      <c r="N215" t="s">
        <v>24</v>
      </c>
      <c r="O215" t="s">
        <v>52</v>
      </c>
      <c r="P215" t="s">
        <v>35</v>
      </c>
      <c r="Q215">
        <v>599</v>
      </c>
      <c r="R215">
        <v>522</v>
      </c>
    </row>
    <row r="216" spans="1:18">
      <c r="A216" t="s">
        <v>291</v>
      </c>
      <c r="B216" t="s">
        <v>89</v>
      </c>
      <c r="C216" t="s">
        <v>90</v>
      </c>
      <c r="D216" s="8">
        <v>2021</v>
      </c>
      <c r="E216" s="29">
        <v>5</v>
      </c>
      <c r="F216">
        <v>4</v>
      </c>
      <c r="G216">
        <v>64</v>
      </c>
      <c r="H216">
        <v>100</v>
      </c>
      <c r="I216">
        <v>12</v>
      </c>
      <c r="J216">
        <v>6.78</v>
      </c>
      <c r="K216" t="s">
        <v>91</v>
      </c>
      <c r="L216" t="s">
        <v>22</v>
      </c>
      <c r="M216" t="s">
        <v>47</v>
      </c>
      <c r="N216" t="s">
        <v>33</v>
      </c>
      <c r="O216" t="s">
        <v>48</v>
      </c>
      <c r="P216" t="s">
        <v>26</v>
      </c>
      <c r="Q216">
        <v>449</v>
      </c>
      <c r="R216">
        <v>304</v>
      </c>
    </row>
    <row r="217" spans="1:18">
      <c r="A217" t="s">
        <v>292</v>
      </c>
      <c r="B217" t="s">
        <v>54</v>
      </c>
      <c r="C217" t="s">
        <v>55</v>
      </c>
      <c r="D217" s="8">
        <v>2024</v>
      </c>
      <c r="E217" s="29">
        <v>2</v>
      </c>
      <c r="F217">
        <v>4</v>
      </c>
      <c r="G217">
        <v>512</v>
      </c>
      <c r="H217">
        <v>91</v>
      </c>
      <c r="I217">
        <v>12</v>
      </c>
      <c r="J217">
        <v>6.7</v>
      </c>
      <c r="K217" t="s">
        <v>56</v>
      </c>
      <c r="L217" t="s">
        <v>59</v>
      </c>
      <c r="M217" t="s">
        <v>23</v>
      </c>
      <c r="N217" t="s">
        <v>33</v>
      </c>
      <c r="O217" t="s">
        <v>48</v>
      </c>
      <c r="P217" t="s">
        <v>26</v>
      </c>
      <c r="Q217">
        <v>549</v>
      </c>
      <c r="R217">
        <v>539</v>
      </c>
    </row>
    <row r="218" spans="1:18">
      <c r="A218" t="s">
        <v>293</v>
      </c>
      <c r="B218" t="s">
        <v>64</v>
      </c>
      <c r="C218" t="s">
        <v>65</v>
      </c>
      <c r="D218" s="8">
        <v>2024</v>
      </c>
      <c r="E218" s="29">
        <v>2</v>
      </c>
      <c r="F218">
        <v>8</v>
      </c>
      <c r="G218">
        <v>128</v>
      </c>
      <c r="H218">
        <v>92</v>
      </c>
      <c r="I218">
        <v>64</v>
      </c>
      <c r="J218">
        <v>6.2</v>
      </c>
      <c r="K218" t="s">
        <v>66</v>
      </c>
      <c r="L218" t="s">
        <v>59</v>
      </c>
      <c r="M218" t="s">
        <v>40</v>
      </c>
      <c r="N218" t="s">
        <v>24</v>
      </c>
      <c r="O218" t="s">
        <v>25</v>
      </c>
      <c r="P218" t="s">
        <v>35</v>
      </c>
      <c r="Q218">
        <v>499</v>
      </c>
      <c r="R218">
        <v>430</v>
      </c>
    </row>
    <row r="219" spans="1:18">
      <c r="A219" t="s">
        <v>294</v>
      </c>
      <c r="B219" t="s">
        <v>37</v>
      </c>
      <c r="C219" t="s">
        <v>38</v>
      </c>
      <c r="D219" s="8">
        <v>2022</v>
      </c>
      <c r="E219" s="29">
        <v>4</v>
      </c>
      <c r="F219">
        <v>4</v>
      </c>
      <c r="G219">
        <v>128</v>
      </c>
      <c r="H219">
        <v>81</v>
      </c>
      <c r="I219">
        <v>12</v>
      </c>
      <c r="J219">
        <v>6.1</v>
      </c>
      <c r="K219" t="s">
        <v>39</v>
      </c>
      <c r="L219" t="s">
        <v>31</v>
      </c>
      <c r="M219" t="s">
        <v>86</v>
      </c>
      <c r="N219" t="s">
        <v>33</v>
      </c>
      <c r="O219" t="s">
        <v>41</v>
      </c>
      <c r="P219" t="s">
        <v>35</v>
      </c>
      <c r="Q219">
        <v>599</v>
      </c>
      <c r="R219">
        <v>573</v>
      </c>
    </row>
    <row r="220" spans="1:18">
      <c r="A220" t="s">
        <v>295</v>
      </c>
      <c r="B220" t="s">
        <v>19</v>
      </c>
      <c r="C220" t="s">
        <v>20</v>
      </c>
      <c r="D220" s="8">
        <v>2024</v>
      </c>
      <c r="E220" s="29">
        <v>2</v>
      </c>
      <c r="F220">
        <v>6</v>
      </c>
      <c r="G220">
        <v>512</v>
      </c>
      <c r="H220">
        <v>85</v>
      </c>
      <c r="I220">
        <v>64</v>
      </c>
      <c r="J220">
        <v>6.5</v>
      </c>
      <c r="K220" t="s">
        <v>21</v>
      </c>
      <c r="L220" t="s">
        <v>59</v>
      </c>
      <c r="M220" t="s">
        <v>47</v>
      </c>
      <c r="N220" t="s">
        <v>24</v>
      </c>
      <c r="O220" t="s">
        <v>41</v>
      </c>
      <c r="P220" t="s">
        <v>35</v>
      </c>
      <c r="Q220">
        <v>599</v>
      </c>
      <c r="R220">
        <v>565</v>
      </c>
    </row>
    <row r="221" spans="1:18">
      <c r="A221" t="s">
        <v>296</v>
      </c>
      <c r="B221" t="s">
        <v>19</v>
      </c>
      <c r="C221" t="s">
        <v>20</v>
      </c>
      <c r="D221" s="8">
        <v>2024</v>
      </c>
      <c r="E221" s="29">
        <v>2</v>
      </c>
      <c r="F221">
        <v>8</v>
      </c>
      <c r="G221">
        <v>64</v>
      </c>
      <c r="H221">
        <v>94</v>
      </c>
      <c r="I221">
        <v>12</v>
      </c>
      <c r="J221">
        <v>6.4</v>
      </c>
      <c r="K221" t="s">
        <v>21</v>
      </c>
      <c r="L221" t="s">
        <v>59</v>
      </c>
      <c r="M221" t="s">
        <v>47</v>
      </c>
      <c r="N221" t="s">
        <v>24</v>
      </c>
      <c r="O221" t="s">
        <v>84</v>
      </c>
      <c r="P221" t="s">
        <v>26</v>
      </c>
      <c r="Q221">
        <v>599</v>
      </c>
      <c r="R221">
        <v>475</v>
      </c>
    </row>
    <row r="222" spans="1:18">
      <c r="A222" t="s">
        <v>297</v>
      </c>
      <c r="B222" t="s">
        <v>44</v>
      </c>
      <c r="C222" t="s">
        <v>45</v>
      </c>
      <c r="D222" s="8">
        <v>2022</v>
      </c>
      <c r="E222" s="29">
        <v>4</v>
      </c>
      <c r="F222">
        <v>8</v>
      </c>
      <c r="G222">
        <v>64</v>
      </c>
      <c r="H222">
        <v>97</v>
      </c>
      <c r="I222">
        <v>12</v>
      </c>
      <c r="J222">
        <v>6.2</v>
      </c>
      <c r="K222" t="s">
        <v>46</v>
      </c>
      <c r="L222" t="s">
        <v>59</v>
      </c>
      <c r="M222" t="s">
        <v>32</v>
      </c>
      <c r="N222" t="s">
        <v>24</v>
      </c>
      <c r="O222" t="s">
        <v>61</v>
      </c>
      <c r="P222" t="s">
        <v>35</v>
      </c>
      <c r="Q222">
        <v>799</v>
      </c>
      <c r="R222">
        <v>670</v>
      </c>
    </row>
    <row r="223" spans="1:18">
      <c r="A223" t="s">
        <v>298</v>
      </c>
      <c r="B223" t="s">
        <v>68</v>
      </c>
      <c r="C223" t="s">
        <v>81</v>
      </c>
      <c r="D223" s="8">
        <v>2024</v>
      </c>
      <c r="E223" s="29">
        <v>2</v>
      </c>
      <c r="F223">
        <v>6</v>
      </c>
      <c r="G223">
        <v>64</v>
      </c>
      <c r="H223">
        <v>86</v>
      </c>
      <c r="I223">
        <v>108</v>
      </c>
      <c r="J223">
        <v>6.67</v>
      </c>
      <c r="K223" t="s">
        <v>82</v>
      </c>
      <c r="L223" t="s">
        <v>59</v>
      </c>
      <c r="M223" t="s">
        <v>32</v>
      </c>
      <c r="N223" t="s">
        <v>24</v>
      </c>
      <c r="O223" t="s">
        <v>87</v>
      </c>
      <c r="P223" t="s">
        <v>35</v>
      </c>
      <c r="Q223">
        <v>299</v>
      </c>
      <c r="R223">
        <v>289</v>
      </c>
    </row>
    <row r="224" spans="1:18">
      <c r="A224" t="s">
        <v>299</v>
      </c>
      <c r="B224" t="s">
        <v>28</v>
      </c>
      <c r="C224" t="s">
        <v>29</v>
      </c>
      <c r="D224" s="8">
        <v>2023</v>
      </c>
      <c r="E224" s="29">
        <v>3</v>
      </c>
      <c r="F224">
        <v>8</v>
      </c>
      <c r="G224">
        <v>256</v>
      </c>
      <c r="H224">
        <v>100</v>
      </c>
      <c r="I224">
        <v>12</v>
      </c>
      <c r="J224">
        <v>6.1</v>
      </c>
      <c r="K224" t="s">
        <v>30</v>
      </c>
      <c r="L224" t="s">
        <v>22</v>
      </c>
      <c r="M224" t="s">
        <v>86</v>
      </c>
      <c r="N224" t="s">
        <v>24</v>
      </c>
      <c r="O224" t="s">
        <v>52</v>
      </c>
      <c r="P224" t="s">
        <v>26</v>
      </c>
      <c r="Q224">
        <v>599</v>
      </c>
      <c r="R224">
        <v>477</v>
      </c>
    </row>
    <row r="225" spans="1:18">
      <c r="A225" t="s">
        <v>300</v>
      </c>
      <c r="B225" t="s">
        <v>89</v>
      </c>
      <c r="C225" t="s">
        <v>115</v>
      </c>
      <c r="D225" s="8">
        <v>2023</v>
      </c>
      <c r="E225" s="29">
        <v>3</v>
      </c>
      <c r="F225">
        <v>4</v>
      </c>
      <c r="G225">
        <v>128</v>
      </c>
      <c r="H225">
        <v>82</v>
      </c>
      <c r="I225">
        <v>50</v>
      </c>
      <c r="J225">
        <v>6.4</v>
      </c>
      <c r="K225" t="s">
        <v>116</v>
      </c>
      <c r="L225" t="s">
        <v>59</v>
      </c>
      <c r="M225" t="s">
        <v>47</v>
      </c>
      <c r="N225" t="s">
        <v>33</v>
      </c>
      <c r="O225" t="s">
        <v>34</v>
      </c>
      <c r="P225" t="s">
        <v>26</v>
      </c>
      <c r="Q225">
        <v>999</v>
      </c>
      <c r="R225">
        <v>775</v>
      </c>
    </row>
    <row r="226" spans="1:18">
      <c r="A226" t="s">
        <v>301</v>
      </c>
      <c r="B226" t="s">
        <v>64</v>
      </c>
      <c r="C226" t="s">
        <v>65</v>
      </c>
      <c r="D226" s="8">
        <v>2020</v>
      </c>
      <c r="E226" s="29">
        <v>6</v>
      </c>
      <c r="F226">
        <v>8</v>
      </c>
      <c r="G226">
        <v>64</v>
      </c>
      <c r="H226">
        <v>91</v>
      </c>
      <c r="I226">
        <v>50</v>
      </c>
      <c r="J226">
        <v>6.4</v>
      </c>
      <c r="K226" t="s">
        <v>66</v>
      </c>
      <c r="L226" t="s">
        <v>57</v>
      </c>
      <c r="M226" t="s">
        <v>86</v>
      </c>
      <c r="N226" t="s">
        <v>24</v>
      </c>
      <c r="O226" t="s">
        <v>41</v>
      </c>
      <c r="P226" t="s">
        <v>26</v>
      </c>
      <c r="Q226">
        <v>499</v>
      </c>
      <c r="R226">
        <v>290</v>
      </c>
    </row>
    <row r="227" spans="1:18">
      <c r="A227" t="s">
        <v>302</v>
      </c>
      <c r="B227" t="s">
        <v>68</v>
      </c>
      <c r="C227" t="s">
        <v>69</v>
      </c>
      <c r="D227" s="8">
        <v>2024</v>
      </c>
      <c r="E227" s="29">
        <v>2</v>
      </c>
      <c r="F227">
        <v>12</v>
      </c>
      <c r="G227">
        <v>64</v>
      </c>
      <c r="H227">
        <v>91</v>
      </c>
      <c r="I227">
        <v>12</v>
      </c>
      <c r="J227">
        <v>6.4</v>
      </c>
      <c r="K227" t="s">
        <v>70</v>
      </c>
      <c r="L227" t="s">
        <v>22</v>
      </c>
      <c r="M227" t="s">
        <v>86</v>
      </c>
      <c r="N227" t="s">
        <v>24</v>
      </c>
      <c r="O227" t="s">
        <v>48</v>
      </c>
      <c r="P227" t="s">
        <v>26</v>
      </c>
      <c r="Q227">
        <v>399</v>
      </c>
      <c r="R227">
        <v>304</v>
      </c>
    </row>
    <row r="228" spans="1:18">
      <c r="A228" t="s">
        <v>303</v>
      </c>
      <c r="B228" t="s">
        <v>54</v>
      </c>
      <c r="C228" t="s">
        <v>55</v>
      </c>
      <c r="D228" s="8">
        <v>2021</v>
      </c>
      <c r="E228" s="29">
        <v>5</v>
      </c>
      <c r="F228">
        <v>6</v>
      </c>
      <c r="G228">
        <v>128</v>
      </c>
      <c r="H228">
        <v>92</v>
      </c>
      <c r="I228">
        <v>50</v>
      </c>
      <c r="J228">
        <v>6.67</v>
      </c>
      <c r="K228" t="s">
        <v>56</v>
      </c>
      <c r="L228" t="s">
        <v>59</v>
      </c>
      <c r="M228" t="s">
        <v>40</v>
      </c>
      <c r="N228" t="s">
        <v>24</v>
      </c>
      <c r="O228" t="s">
        <v>61</v>
      </c>
      <c r="P228" t="s">
        <v>35</v>
      </c>
      <c r="Q228">
        <v>549</v>
      </c>
      <c r="R228">
        <v>461</v>
      </c>
    </row>
    <row r="229" spans="1:18">
      <c r="A229" t="s">
        <v>304</v>
      </c>
      <c r="B229" t="s">
        <v>28</v>
      </c>
      <c r="C229" t="s">
        <v>29</v>
      </c>
      <c r="D229" s="8">
        <v>2021</v>
      </c>
      <c r="E229" s="29">
        <v>5</v>
      </c>
      <c r="F229">
        <v>6</v>
      </c>
      <c r="G229">
        <v>256</v>
      </c>
      <c r="H229">
        <v>78</v>
      </c>
      <c r="I229">
        <v>108</v>
      </c>
      <c r="J229">
        <v>6.67</v>
      </c>
      <c r="K229" t="s">
        <v>30</v>
      </c>
      <c r="L229" t="s">
        <v>31</v>
      </c>
      <c r="M229" t="s">
        <v>40</v>
      </c>
      <c r="N229" t="s">
        <v>24</v>
      </c>
      <c r="O229" t="s">
        <v>52</v>
      </c>
      <c r="P229" t="s">
        <v>35</v>
      </c>
      <c r="Q229">
        <v>599</v>
      </c>
      <c r="R229">
        <v>589</v>
      </c>
    </row>
    <row r="230" spans="1:18">
      <c r="A230" t="s">
        <v>305</v>
      </c>
      <c r="B230" t="s">
        <v>28</v>
      </c>
      <c r="C230" t="s">
        <v>29</v>
      </c>
      <c r="D230" s="8">
        <v>2023</v>
      </c>
      <c r="E230" s="29">
        <v>3</v>
      </c>
      <c r="F230">
        <v>12</v>
      </c>
      <c r="G230">
        <v>128</v>
      </c>
      <c r="H230">
        <v>97</v>
      </c>
      <c r="I230">
        <v>64</v>
      </c>
      <c r="J230">
        <v>6.2</v>
      </c>
      <c r="K230" t="s">
        <v>30</v>
      </c>
      <c r="L230" t="s">
        <v>22</v>
      </c>
      <c r="M230" t="s">
        <v>40</v>
      </c>
      <c r="N230" t="s">
        <v>24</v>
      </c>
      <c r="O230" t="s">
        <v>34</v>
      </c>
      <c r="P230" t="s">
        <v>26</v>
      </c>
      <c r="Q230">
        <v>599</v>
      </c>
      <c r="R230">
        <v>465</v>
      </c>
    </row>
    <row r="231" spans="1:18">
      <c r="A231" t="s">
        <v>306</v>
      </c>
      <c r="B231" t="s">
        <v>89</v>
      </c>
      <c r="C231" t="s">
        <v>115</v>
      </c>
      <c r="D231" s="8">
        <v>2023</v>
      </c>
      <c r="E231" s="29">
        <v>3</v>
      </c>
      <c r="F231">
        <v>12</v>
      </c>
      <c r="G231">
        <v>256</v>
      </c>
      <c r="H231">
        <v>92</v>
      </c>
      <c r="I231">
        <v>12</v>
      </c>
      <c r="J231">
        <v>6.78</v>
      </c>
      <c r="K231" t="s">
        <v>116</v>
      </c>
      <c r="L231" t="s">
        <v>22</v>
      </c>
      <c r="M231" t="s">
        <v>86</v>
      </c>
      <c r="N231" t="s">
        <v>24</v>
      </c>
      <c r="O231" t="s">
        <v>87</v>
      </c>
      <c r="P231" t="s">
        <v>35</v>
      </c>
      <c r="Q231">
        <v>999</v>
      </c>
      <c r="R231">
        <v>727</v>
      </c>
    </row>
    <row r="232" spans="1:18">
      <c r="A232" t="s">
        <v>307</v>
      </c>
      <c r="B232" t="s">
        <v>37</v>
      </c>
      <c r="C232" t="s">
        <v>38</v>
      </c>
      <c r="D232" s="8">
        <v>2024</v>
      </c>
      <c r="E232" s="29">
        <v>2</v>
      </c>
      <c r="F232">
        <v>4</v>
      </c>
      <c r="G232">
        <v>64</v>
      </c>
      <c r="H232">
        <v>97</v>
      </c>
      <c r="I232">
        <v>50</v>
      </c>
      <c r="J232">
        <v>6.5</v>
      </c>
      <c r="K232" t="s">
        <v>39</v>
      </c>
      <c r="L232" t="s">
        <v>31</v>
      </c>
      <c r="M232" t="s">
        <v>47</v>
      </c>
      <c r="N232" t="s">
        <v>33</v>
      </c>
      <c r="O232" t="s">
        <v>41</v>
      </c>
      <c r="P232" t="s">
        <v>26</v>
      </c>
      <c r="Q232">
        <v>599</v>
      </c>
      <c r="R232">
        <v>540</v>
      </c>
    </row>
    <row r="233" spans="1:18">
      <c r="A233" t="s">
        <v>308</v>
      </c>
      <c r="B233" t="s">
        <v>54</v>
      </c>
      <c r="C233" t="s">
        <v>55</v>
      </c>
      <c r="D233" s="8">
        <v>2023</v>
      </c>
      <c r="E233" s="29">
        <v>3</v>
      </c>
      <c r="F233">
        <v>12</v>
      </c>
      <c r="G233">
        <v>64</v>
      </c>
      <c r="H233">
        <v>99</v>
      </c>
      <c r="I233">
        <v>64</v>
      </c>
      <c r="J233">
        <v>6.7</v>
      </c>
      <c r="K233" t="s">
        <v>56</v>
      </c>
      <c r="L233" t="s">
        <v>22</v>
      </c>
      <c r="M233" t="s">
        <v>23</v>
      </c>
      <c r="N233" t="s">
        <v>33</v>
      </c>
      <c r="O233" t="s">
        <v>41</v>
      </c>
      <c r="P233" t="s">
        <v>26</v>
      </c>
      <c r="Q233">
        <v>549</v>
      </c>
      <c r="R233">
        <v>413</v>
      </c>
    </row>
    <row r="234" spans="1:18">
      <c r="A234" t="s">
        <v>309</v>
      </c>
      <c r="B234" t="s">
        <v>64</v>
      </c>
      <c r="C234" t="s">
        <v>65</v>
      </c>
      <c r="D234" s="8">
        <v>2020</v>
      </c>
      <c r="E234" s="29">
        <v>6</v>
      </c>
      <c r="F234">
        <v>4</v>
      </c>
      <c r="G234">
        <v>256</v>
      </c>
      <c r="H234">
        <v>90</v>
      </c>
      <c r="I234">
        <v>12</v>
      </c>
      <c r="J234">
        <v>6.1</v>
      </c>
      <c r="K234" t="s">
        <v>66</v>
      </c>
      <c r="L234" t="s">
        <v>22</v>
      </c>
      <c r="M234" t="s">
        <v>60</v>
      </c>
      <c r="N234" t="s">
        <v>33</v>
      </c>
      <c r="O234" t="s">
        <v>48</v>
      </c>
      <c r="P234" t="s">
        <v>35</v>
      </c>
      <c r="Q234">
        <v>499</v>
      </c>
      <c r="R234">
        <v>383</v>
      </c>
    </row>
    <row r="235" spans="1:18">
      <c r="A235" t="s">
        <v>310</v>
      </c>
      <c r="B235" t="s">
        <v>68</v>
      </c>
      <c r="C235" t="s">
        <v>81</v>
      </c>
      <c r="D235" s="8">
        <v>2023</v>
      </c>
      <c r="E235" s="29">
        <v>3</v>
      </c>
      <c r="F235">
        <v>4</v>
      </c>
      <c r="G235">
        <v>512</v>
      </c>
      <c r="H235">
        <v>85</v>
      </c>
      <c r="I235">
        <v>50</v>
      </c>
      <c r="J235">
        <v>6.1</v>
      </c>
      <c r="K235" t="s">
        <v>82</v>
      </c>
      <c r="L235" t="s">
        <v>22</v>
      </c>
      <c r="M235" t="s">
        <v>47</v>
      </c>
      <c r="N235" t="s">
        <v>33</v>
      </c>
      <c r="O235" t="s">
        <v>48</v>
      </c>
      <c r="P235" t="s">
        <v>35</v>
      </c>
      <c r="Q235">
        <v>299</v>
      </c>
      <c r="R235">
        <v>289</v>
      </c>
    </row>
    <row r="236" spans="1:18">
      <c r="A236" t="s">
        <v>311</v>
      </c>
      <c r="B236" t="s">
        <v>44</v>
      </c>
      <c r="C236" t="s">
        <v>45</v>
      </c>
      <c r="D236" s="8">
        <v>2020</v>
      </c>
      <c r="E236" s="29">
        <v>6</v>
      </c>
      <c r="F236">
        <v>12</v>
      </c>
      <c r="G236">
        <v>64</v>
      </c>
      <c r="H236">
        <v>84</v>
      </c>
      <c r="I236">
        <v>64</v>
      </c>
      <c r="J236">
        <v>6.78</v>
      </c>
      <c r="K236" t="s">
        <v>46</v>
      </c>
      <c r="L236" t="s">
        <v>59</v>
      </c>
      <c r="M236" t="s">
        <v>47</v>
      </c>
      <c r="N236" t="s">
        <v>33</v>
      </c>
      <c r="O236" t="s">
        <v>34</v>
      </c>
      <c r="P236" t="s">
        <v>35</v>
      </c>
      <c r="Q236">
        <v>799</v>
      </c>
      <c r="R236">
        <v>654</v>
      </c>
    </row>
    <row r="237" spans="1:18">
      <c r="A237" t="s">
        <v>312</v>
      </c>
      <c r="B237" t="s">
        <v>44</v>
      </c>
      <c r="C237" t="s">
        <v>45</v>
      </c>
      <c r="D237" s="8">
        <v>2023</v>
      </c>
      <c r="E237" s="29">
        <v>3</v>
      </c>
      <c r="F237">
        <v>12</v>
      </c>
      <c r="G237">
        <v>128</v>
      </c>
      <c r="H237">
        <v>94</v>
      </c>
      <c r="I237">
        <v>64</v>
      </c>
      <c r="J237">
        <v>6.7</v>
      </c>
      <c r="K237" t="s">
        <v>46</v>
      </c>
      <c r="L237" t="s">
        <v>22</v>
      </c>
      <c r="M237" t="s">
        <v>47</v>
      </c>
      <c r="N237" t="s">
        <v>33</v>
      </c>
      <c r="O237" t="s">
        <v>84</v>
      </c>
      <c r="P237" t="s">
        <v>35</v>
      </c>
      <c r="Q237">
        <v>799</v>
      </c>
      <c r="R237">
        <v>583</v>
      </c>
    </row>
    <row r="238" spans="1:18">
      <c r="A238" t="s">
        <v>313</v>
      </c>
      <c r="B238" t="s">
        <v>28</v>
      </c>
      <c r="C238" t="s">
        <v>29</v>
      </c>
      <c r="D238" s="8">
        <v>2024</v>
      </c>
      <c r="E238" s="29">
        <v>2</v>
      </c>
      <c r="F238">
        <v>6</v>
      </c>
      <c r="G238">
        <v>128</v>
      </c>
      <c r="H238">
        <v>82</v>
      </c>
      <c r="I238">
        <v>48</v>
      </c>
      <c r="J238">
        <v>6.2</v>
      </c>
      <c r="K238" t="s">
        <v>30</v>
      </c>
      <c r="L238" t="s">
        <v>59</v>
      </c>
      <c r="M238" t="s">
        <v>47</v>
      </c>
      <c r="N238" t="s">
        <v>33</v>
      </c>
      <c r="O238" t="s">
        <v>34</v>
      </c>
      <c r="P238" t="s">
        <v>35</v>
      </c>
      <c r="Q238">
        <v>599</v>
      </c>
      <c r="R238">
        <v>485</v>
      </c>
    </row>
    <row r="239" spans="1:18">
      <c r="A239" t="s">
        <v>314</v>
      </c>
      <c r="B239" t="s">
        <v>28</v>
      </c>
      <c r="C239" t="s">
        <v>29</v>
      </c>
      <c r="D239" s="8">
        <v>2024</v>
      </c>
      <c r="E239" s="29">
        <v>2</v>
      </c>
      <c r="F239">
        <v>8</v>
      </c>
      <c r="G239">
        <v>64</v>
      </c>
      <c r="H239">
        <v>87</v>
      </c>
      <c r="I239">
        <v>12</v>
      </c>
      <c r="J239">
        <v>6.4</v>
      </c>
      <c r="K239" t="s">
        <v>30</v>
      </c>
      <c r="L239" t="s">
        <v>22</v>
      </c>
      <c r="M239" t="s">
        <v>47</v>
      </c>
      <c r="N239" t="s">
        <v>33</v>
      </c>
      <c r="O239" t="s">
        <v>41</v>
      </c>
      <c r="P239" t="s">
        <v>26</v>
      </c>
      <c r="Q239">
        <v>599</v>
      </c>
      <c r="R239">
        <v>429</v>
      </c>
    </row>
    <row r="240" spans="1:18">
      <c r="A240" t="s">
        <v>315</v>
      </c>
      <c r="B240" t="s">
        <v>44</v>
      </c>
      <c r="C240" t="s">
        <v>45</v>
      </c>
      <c r="D240" s="8">
        <v>2023</v>
      </c>
      <c r="E240" s="29">
        <v>3</v>
      </c>
      <c r="F240">
        <v>4</v>
      </c>
      <c r="G240">
        <v>256</v>
      </c>
      <c r="H240">
        <v>100</v>
      </c>
      <c r="I240">
        <v>50</v>
      </c>
      <c r="J240">
        <v>6.1</v>
      </c>
      <c r="K240" t="s">
        <v>46</v>
      </c>
      <c r="L240" t="s">
        <v>59</v>
      </c>
      <c r="M240" t="s">
        <v>23</v>
      </c>
      <c r="N240" t="s">
        <v>33</v>
      </c>
      <c r="O240" t="s">
        <v>41</v>
      </c>
      <c r="P240" t="s">
        <v>35</v>
      </c>
      <c r="Q240">
        <v>799</v>
      </c>
      <c r="R240">
        <v>698</v>
      </c>
    </row>
    <row r="241" spans="1:18">
      <c r="A241" t="s">
        <v>316</v>
      </c>
      <c r="B241" t="s">
        <v>37</v>
      </c>
      <c r="C241" t="s">
        <v>38</v>
      </c>
      <c r="D241" s="8">
        <v>2024</v>
      </c>
      <c r="E241" s="29">
        <v>2</v>
      </c>
      <c r="F241">
        <v>4</v>
      </c>
      <c r="G241">
        <v>64</v>
      </c>
      <c r="H241">
        <v>97</v>
      </c>
      <c r="I241">
        <v>50</v>
      </c>
      <c r="J241">
        <v>6.78</v>
      </c>
      <c r="K241" t="s">
        <v>39</v>
      </c>
      <c r="L241" t="s">
        <v>22</v>
      </c>
      <c r="M241" t="s">
        <v>60</v>
      </c>
      <c r="N241" t="s">
        <v>33</v>
      </c>
      <c r="O241" t="s">
        <v>48</v>
      </c>
      <c r="P241" t="s">
        <v>35</v>
      </c>
      <c r="Q241">
        <v>599</v>
      </c>
      <c r="R241">
        <v>401</v>
      </c>
    </row>
    <row r="242" spans="1:18">
      <c r="A242" t="s">
        <v>317</v>
      </c>
      <c r="B242" t="s">
        <v>73</v>
      </c>
      <c r="C242" t="s">
        <v>122</v>
      </c>
      <c r="D242" s="8">
        <v>2020</v>
      </c>
      <c r="E242" s="29">
        <v>6</v>
      </c>
      <c r="F242">
        <v>8</v>
      </c>
      <c r="G242">
        <v>64</v>
      </c>
      <c r="H242">
        <v>88</v>
      </c>
      <c r="I242">
        <v>64</v>
      </c>
      <c r="J242">
        <v>6.78</v>
      </c>
      <c r="K242" t="s">
        <v>123</v>
      </c>
      <c r="L242" t="s">
        <v>22</v>
      </c>
      <c r="M242" t="s">
        <v>60</v>
      </c>
      <c r="N242" t="s">
        <v>24</v>
      </c>
      <c r="O242" t="s">
        <v>61</v>
      </c>
      <c r="P242" t="s">
        <v>26</v>
      </c>
      <c r="Q242">
        <v>699</v>
      </c>
      <c r="R242">
        <v>448</v>
      </c>
    </row>
    <row r="243" spans="1:18">
      <c r="A243" t="s">
        <v>318</v>
      </c>
      <c r="B243" t="s">
        <v>64</v>
      </c>
      <c r="C243" t="s">
        <v>65</v>
      </c>
      <c r="D243" s="8">
        <v>2020</v>
      </c>
      <c r="E243" s="29">
        <v>6</v>
      </c>
      <c r="F243">
        <v>8</v>
      </c>
      <c r="G243">
        <v>64</v>
      </c>
      <c r="H243">
        <v>77</v>
      </c>
      <c r="I243">
        <v>50</v>
      </c>
      <c r="J243">
        <v>6.67</v>
      </c>
      <c r="K243" t="s">
        <v>66</v>
      </c>
      <c r="L243" t="s">
        <v>31</v>
      </c>
      <c r="M243" t="s">
        <v>23</v>
      </c>
      <c r="N243" t="s">
        <v>33</v>
      </c>
      <c r="O243" t="s">
        <v>41</v>
      </c>
      <c r="P243" t="s">
        <v>35</v>
      </c>
      <c r="Q243">
        <v>499</v>
      </c>
      <c r="R243">
        <v>489</v>
      </c>
    </row>
    <row r="244" spans="1:18">
      <c r="A244" t="s">
        <v>319</v>
      </c>
      <c r="B244" t="s">
        <v>28</v>
      </c>
      <c r="C244" t="s">
        <v>29</v>
      </c>
      <c r="D244" s="8">
        <v>2022</v>
      </c>
      <c r="E244" s="29">
        <v>4</v>
      </c>
      <c r="F244">
        <v>6</v>
      </c>
      <c r="G244">
        <v>256</v>
      </c>
      <c r="H244">
        <v>86</v>
      </c>
      <c r="I244">
        <v>12</v>
      </c>
      <c r="J244">
        <v>6.2</v>
      </c>
      <c r="K244" t="s">
        <v>30</v>
      </c>
      <c r="L244" t="s">
        <v>22</v>
      </c>
      <c r="M244" t="s">
        <v>86</v>
      </c>
      <c r="N244" t="s">
        <v>33</v>
      </c>
      <c r="O244" t="s">
        <v>41</v>
      </c>
      <c r="P244" t="s">
        <v>26</v>
      </c>
      <c r="Q244">
        <v>599</v>
      </c>
      <c r="R244">
        <v>440</v>
      </c>
    </row>
    <row r="245" spans="1:18">
      <c r="A245" t="s">
        <v>320</v>
      </c>
      <c r="B245" t="s">
        <v>19</v>
      </c>
      <c r="C245" t="s">
        <v>20</v>
      </c>
      <c r="D245" s="8">
        <v>2022</v>
      </c>
      <c r="E245" s="29">
        <v>4</v>
      </c>
      <c r="F245">
        <v>12</v>
      </c>
      <c r="G245">
        <v>512</v>
      </c>
      <c r="H245">
        <v>100</v>
      </c>
      <c r="I245">
        <v>50</v>
      </c>
      <c r="J245">
        <v>6.7</v>
      </c>
      <c r="K245" t="s">
        <v>21</v>
      </c>
      <c r="L245" t="s">
        <v>22</v>
      </c>
      <c r="M245" t="s">
        <v>23</v>
      </c>
      <c r="N245" t="s">
        <v>24</v>
      </c>
      <c r="O245" t="s">
        <v>84</v>
      </c>
      <c r="P245" t="s">
        <v>35</v>
      </c>
      <c r="Q245">
        <v>599</v>
      </c>
      <c r="R245">
        <v>504</v>
      </c>
    </row>
    <row r="246" spans="1:18">
      <c r="A246" t="s">
        <v>321</v>
      </c>
      <c r="B246" t="s">
        <v>54</v>
      </c>
      <c r="C246" t="s">
        <v>55</v>
      </c>
      <c r="D246" s="8">
        <v>2022</v>
      </c>
      <c r="E246" s="29">
        <v>4</v>
      </c>
      <c r="F246">
        <v>6</v>
      </c>
      <c r="G246">
        <v>512</v>
      </c>
      <c r="H246">
        <v>84</v>
      </c>
      <c r="I246">
        <v>64</v>
      </c>
      <c r="J246">
        <v>6.78</v>
      </c>
      <c r="K246" t="s">
        <v>56</v>
      </c>
      <c r="L246" t="s">
        <v>31</v>
      </c>
      <c r="M246" t="s">
        <v>40</v>
      </c>
      <c r="N246" t="s">
        <v>24</v>
      </c>
      <c r="O246" t="s">
        <v>48</v>
      </c>
      <c r="P246" t="s">
        <v>26</v>
      </c>
      <c r="Q246">
        <v>549</v>
      </c>
      <c r="R246">
        <v>539</v>
      </c>
    </row>
    <row r="247" spans="1:18">
      <c r="A247" t="s">
        <v>322</v>
      </c>
      <c r="B247" t="s">
        <v>19</v>
      </c>
      <c r="C247" t="s">
        <v>20</v>
      </c>
      <c r="D247" s="8">
        <v>2024</v>
      </c>
      <c r="E247" s="29">
        <v>2</v>
      </c>
      <c r="F247">
        <v>12</v>
      </c>
      <c r="G247">
        <v>512</v>
      </c>
      <c r="H247">
        <v>87</v>
      </c>
      <c r="I247">
        <v>108</v>
      </c>
      <c r="J247">
        <v>6.5</v>
      </c>
      <c r="K247" t="s">
        <v>21</v>
      </c>
      <c r="L247" t="s">
        <v>59</v>
      </c>
      <c r="M247" t="s">
        <v>32</v>
      </c>
      <c r="N247" t="s">
        <v>33</v>
      </c>
      <c r="O247" t="s">
        <v>25</v>
      </c>
      <c r="P247" t="s">
        <v>35</v>
      </c>
      <c r="Q247">
        <v>599</v>
      </c>
      <c r="R247">
        <v>589</v>
      </c>
    </row>
    <row r="248" spans="1:18">
      <c r="A248" t="s">
        <v>323</v>
      </c>
      <c r="B248" t="s">
        <v>77</v>
      </c>
      <c r="C248" t="s">
        <v>78</v>
      </c>
      <c r="D248" s="8">
        <v>2024</v>
      </c>
      <c r="E248" s="29">
        <v>2</v>
      </c>
      <c r="F248">
        <v>6</v>
      </c>
      <c r="G248">
        <v>256</v>
      </c>
      <c r="H248">
        <v>100</v>
      </c>
      <c r="I248">
        <v>64</v>
      </c>
      <c r="J248">
        <v>6.78</v>
      </c>
      <c r="K248" t="s">
        <v>79</v>
      </c>
      <c r="L248" t="s">
        <v>59</v>
      </c>
      <c r="M248" t="s">
        <v>47</v>
      </c>
      <c r="N248" t="s">
        <v>24</v>
      </c>
      <c r="O248" t="s">
        <v>34</v>
      </c>
      <c r="P248" t="s">
        <v>35</v>
      </c>
      <c r="Q248">
        <v>699</v>
      </c>
      <c r="R248">
        <v>586</v>
      </c>
    </row>
    <row r="249" spans="1:18">
      <c r="A249" t="s">
        <v>324</v>
      </c>
      <c r="B249" t="s">
        <v>64</v>
      </c>
      <c r="C249" t="s">
        <v>65</v>
      </c>
      <c r="D249" s="8">
        <v>2024</v>
      </c>
      <c r="E249" s="29">
        <v>2</v>
      </c>
      <c r="F249">
        <v>12</v>
      </c>
      <c r="G249">
        <v>256</v>
      </c>
      <c r="H249">
        <v>96</v>
      </c>
      <c r="I249">
        <v>12</v>
      </c>
      <c r="J249">
        <v>6.78</v>
      </c>
      <c r="K249" t="s">
        <v>66</v>
      </c>
      <c r="L249" t="s">
        <v>59</v>
      </c>
      <c r="M249" t="s">
        <v>40</v>
      </c>
      <c r="N249" t="s">
        <v>33</v>
      </c>
      <c r="O249" t="s">
        <v>61</v>
      </c>
      <c r="P249" t="s">
        <v>35</v>
      </c>
      <c r="Q249">
        <v>499</v>
      </c>
      <c r="R249">
        <v>489</v>
      </c>
    </row>
    <row r="250" spans="1:18">
      <c r="A250" t="s">
        <v>325</v>
      </c>
      <c r="B250" t="s">
        <v>77</v>
      </c>
      <c r="C250" t="s">
        <v>78</v>
      </c>
      <c r="D250" s="8">
        <v>2020</v>
      </c>
      <c r="E250" s="29">
        <v>6</v>
      </c>
      <c r="F250">
        <v>4</v>
      </c>
      <c r="G250">
        <v>128</v>
      </c>
      <c r="H250">
        <v>75</v>
      </c>
      <c r="I250">
        <v>108</v>
      </c>
      <c r="J250">
        <v>6.1</v>
      </c>
      <c r="K250" t="s">
        <v>79</v>
      </c>
      <c r="L250" t="s">
        <v>59</v>
      </c>
      <c r="M250" t="s">
        <v>47</v>
      </c>
      <c r="N250" t="s">
        <v>24</v>
      </c>
      <c r="O250" t="s">
        <v>52</v>
      </c>
      <c r="P250" t="s">
        <v>26</v>
      </c>
      <c r="Q250">
        <v>699</v>
      </c>
      <c r="R250">
        <v>559</v>
      </c>
    </row>
    <row r="251" spans="1:18">
      <c r="A251" t="s">
        <v>326</v>
      </c>
      <c r="B251" t="s">
        <v>44</v>
      </c>
      <c r="C251" t="s">
        <v>45</v>
      </c>
      <c r="D251" s="8">
        <v>2024</v>
      </c>
      <c r="E251" s="29">
        <v>2</v>
      </c>
      <c r="F251">
        <v>8</v>
      </c>
      <c r="G251">
        <v>128</v>
      </c>
      <c r="H251">
        <v>81</v>
      </c>
      <c r="I251">
        <v>48</v>
      </c>
      <c r="J251">
        <v>6.4</v>
      </c>
      <c r="K251" t="s">
        <v>46</v>
      </c>
      <c r="L251" t="s">
        <v>22</v>
      </c>
      <c r="M251" t="s">
        <v>60</v>
      </c>
      <c r="N251" t="s">
        <v>33</v>
      </c>
      <c r="O251" t="s">
        <v>41</v>
      </c>
      <c r="P251" t="s">
        <v>26</v>
      </c>
      <c r="Q251">
        <v>799</v>
      </c>
      <c r="R251">
        <v>526</v>
      </c>
    </row>
    <row r="252" spans="1:18">
      <c r="A252" t="s">
        <v>327</v>
      </c>
      <c r="B252" t="s">
        <v>28</v>
      </c>
      <c r="C252" t="s">
        <v>29</v>
      </c>
      <c r="D252" s="8">
        <v>2020</v>
      </c>
      <c r="E252" s="29">
        <v>6</v>
      </c>
      <c r="F252">
        <v>12</v>
      </c>
      <c r="G252">
        <v>128</v>
      </c>
      <c r="H252">
        <v>99</v>
      </c>
      <c r="I252">
        <v>64</v>
      </c>
      <c r="J252">
        <v>6.5</v>
      </c>
      <c r="K252" t="s">
        <v>30</v>
      </c>
      <c r="L252" t="s">
        <v>22</v>
      </c>
      <c r="M252" t="s">
        <v>32</v>
      </c>
      <c r="N252" t="s">
        <v>33</v>
      </c>
      <c r="O252" t="s">
        <v>48</v>
      </c>
      <c r="P252" t="s">
        <v>26</v>
      </c>
      <c r="Q252">
        <v>599</v>
      </c>
      <c r="R252">
        <v>438</v>
      </c>
    </row>
    <row r="253" spans="1:18">
      <c r="A253" t="s">
        <v>328</v>
      </c>
      <c r="B253" t="s">
        <v>77</v>
      </c>
      <c r="C253" t="s">
        <v>78</v>
      </c>
      <c r="D253" s="8">
        <v>2021</v>
      </c>
      <c r="E253" s="29">
        <v>5</v>
      </c>
      <c r="F253">
        <v>4</v>
      </c>
      <c r="G253">
        <v>128</v>
      </c>
      <c r="H253">
        <v>96</v>
      </c>
      <c r="I253">
        <v>108</v>
      </c>
      <c r="J253">
        <v>6.78</v>
      </c>
      <c r="K253" t="s">
        <v>79</v>
      </c>
      <c r="L253" t="s">
        <v>22</v>
      </c>
      <c r="M253" t="s">
        <v>23</v>
      </c>
      <c r="N253" t="s">
        <v>33</v>
      </c>
      <c r="O253" t="s">
        <v>84</v>
      </c>
      <c r="P253" t="s">
        <v>26</v>
      </c>
      <c r="Q253">
        <v>699</v>
      </c>
      <c r="R253">
        <v>486</v>
      </c>
    </row>
    <row r="254" spans="1:18">
      <c r="A254" t="s">
        <v>329</v>
      </c>
      <c r="B254" t="s">
        <v>44</v>
      </c>
      <c r="C254" t="s">
        <v>45</v>
      </c>
      <c r="D254" s="8">
        <v>2021</v>
      </c>
      <c r="E254" s="29">
        <v>5</v>
      </c>
      <c r="F254">
        <v>4</v>
      </c>
      <c r="G254">
        <v>128</v>
      </c>
      <c r="H254">
        <v>98</v>
      </c>
      <c r="I254">
        <v>48</v>
      </c>
      <c r="J254">
        <v>6.4</v>
      </c>
      <c r="K254" t="s">
        <v>46</v>
      </c>
      <c r="L254" t="s">
        <v>59</v>
      </c>
      <c r="M254" t="s">
        <v>86</v>
      </c>
      <c r="N254" t="s">
        <v>33</v>
      </c>
      <c r="O254" t="s">
        <v>25</v>
      </c>
      <c r="P254" t="s">
        <v>35</v>
      </c>
      <c r="Q254">
        <v>799</v>
      </c>
      <c r="R254">
        <v>657</v>
      </c>
    </row>
    <row r="255" spans="1:18">
      <c r="A255" t="s">
        <v>330</v>
      </c>
      <c r="B255" t="s">
        <v>28</v>
      </c>
      <c r="C255" t="s">
        <v>29</v>
      </c>
      <c r="D255" s="8">
        <v>2020</v>
      </c>
      <c r="E255" s="29">
        <v>6</v>
      </c>
      <c r="F255">
        <v>12</v>
      </c>
      <c r="G255">
        <v>512</v>
      </c>
      <c r="H255">
        <v>76</v>
      </c>
      <c r="I255">
        <v>64</v>
      </c>
      <c r="J255">
        <v>6.4</v>
      </c>
      <c r="K255" t="s">
        <v>30</v>
      </c>
      <c r="L255" t="s">
        <v>59</v>
      </c>
      <c r="M255" t="s">
        <v>86</v>
      </c>
      <c r="N255" t="s">
        <v>24</v>
      </c>
      <c r="O255" t="s">
        <v>25</v>
      </c>
      <c r="P255" t="s">
        <v>26</v>
      </c>
      <c r="Q255">
        <v>599</v>
      </c>
      <c r="R255">
        <v>589</v>
      </c>
    </row>
    <row r="256" spans="1:18">
      <c r="A256" t="s">
        <v>331</v>
      </c>
      <c r="B256" t="s">
        <v>77</v>
      </c>
      <c r="C256" t="s">
        <v>78</v>
      </c>
      <c r="D256" s="8">
        <v>2021</v>
      </c>
      <c r="E256" s="29">
        <v>5</v>
      </c>
      <c r="F256">
        <v>4</v>
      </c>
      <c r="G256">
        <v>256</v>
      </c>
      <c r="H256">
        <v>75</v>
      </c>
      <c r="I256">
        <v>108</v>
      </c>
      <c r="J256">
        <v>6.78</v>
      </c>
      <c r="K256" t="s">
        <v>79</v>
      </c>
      <c r="L256" t="s">
        <v>59</v>
      </c>
      <c r="M256" t="s">
        <v>32</v>
      </c>
      <c r="N256" t="s">
        <v>33</v>
      </c>
      <c r="O256" t="s">
        <v>41</v>
      </c>
      <c r="P256" t="s">
        <v>35</v>
      </c>
      <c r="Q256">
        <v>699</v>
      </c>
      <c r="R256">
        <v>568</v>
      </c>
    </row>
    <row r="257" spans="1:18">
      <c r="A257" t="s">
        <v>332</v>
      </c>
      <c r="B257" t="s">
        <v>73</v>
      </c>
      <c r="C257" t="s">
        <v>105</v>
      </c>
      <c r="D257" s="8">
        <v>2023</v>
      </c>
      <c r="E257" s="29">
        <v>3</v>
      </c>
      <c r="F257">
        <v>6</v>
      </c>
      <c r="G257">
        <v>256</v>
      </c>
      <c r="H257">
        <v>99</v>
      </c>
      <c r="I257">
        <v>108</v>
      </c>
      <c r="J257">
        <v>6.2</v>
      </c>
      <c r="K257" t="s">
        <v>75</v>
      </c>
      <c r="L257" t="s">
        <v>57</v>
      </c>
      <c r="M257" t="s">
        <v>32</v>
      </c>
      <c r="N257" t="s">
        <v>24</v>
      </c>
      <c r="O257" t="s">
        <v>61</v>
      </c>
      <c r="P257" t="s">
        <v>35</v>
      </c>
      <c r="Q257">
        <v>899</v>
      </c>
      <c r="R257">
        <v>520</v>
      </c>
    </row>
    <row r="258" spans="1:18">
      <c r="A258" t="s">
        <v>333</v>
      </c>
      <c r="B258" t="s">
        <v>19</v>
      </c>
      <c r="C258" t="s">
        <v>20</v>
      </c>
      <c r="D258" s="8">
        <v>2020</v>
      </c>
      <c r="E258" s="29">
        <v>6</v>
      </c>
      <c r="F258">
        <v>8</v>
      </c>
      <c r="G258">
        <v>64</v>
      </c>
      <c r="H258">
        <v>100</v>
      </c>
      <c r="I258">
        <v>50</v>
      </c>
      <c r="J258">
        <v>6.67</v>
      </c>
      <c r="K258" t="s">
        <v>21</v>
      </c>
      <c r="L258" t="s">
        <v>57</v>
      </c>
      <c r="M258" t="s">
        <v>32</v>
      </c>
      <c r="N258" t="s">
        <v>24</v>
      </c>
      <c r="O258" t="s">
        <v>25</v>
      </c>
      <c r="P258" t="s">
        <v>26</v>
      </c>
      <c r="Q258">
        <v>599</v>
      </c>
      <c r="R258">
        <v>309</v>
      </c>
    </row>
    <row r="259" spans="1:18">
      <c r="A259" t="s">
        <v>334</v>
      </c>
      <c r="B259" t="s">
        <v>19</v>
      </c>
      <c r="C259" t="s">
        <v>20</v>
      </c>
      <c r="D259" s="8">
        <v>2020</v>
      </c>
      <c r="E259" s="29">
        <v>6</v>
      </c>
      <c r="F259">
        <v>4</v>
      </c>
      <c r="G259">
        <v>128</v>
      </c>
      <c r="H259">
        <v>88</v>
      </c>
      <c r="I259">
        <v>64</v>
      </c>
      <c r="J259">
        <v>6.7</v>
      </c>
      <c r="K259" t="s">
        <v>21</v>
      </c>
      <c r="L259" t="s">
        <v>22</v>
      </c>
      <c r="M259" t="s">
        <v>60</v>
      </c>
      <c r="N259" t="s">
        <v>24</v>
      </c>
      <c r="O259" t="s">
        <v>61</v>
      </c>
      <c r="P259" t="s">
        <v>35</v>
      </c>
      <c r="Q259">
        <v>599</v>
      </c>
      <c r="R259">
        <v>439</v>
      </c>
    </row>
    <row r="260" spans="1:18">
      <c r="A260" t="s">
        <v>335</v>
      </c>
      <c r="B260" t="s">
        <v>28</v>
      </c>
      <c r="C260" t="s">
        <v>29</v>
      </c>
      <c r="D260" s="8">
        <v>2023</v>
      </c>
      <c r="E260" s="29">
        <v>3</v>
      </c>
      <c r="F260">
        <v>12</v>
      </c>
      <c r="G260">
        <v>64</v>
      </c>
      <c r="H260">
        <v>90</v>
      </c>
      <c r="I260">
        <v>48</v>
      </c>
      <c r="J260">
        <v>6.4</v>
      </c>
      <c r="K260" t="s">
        <v>30</v>
      </c>
      <c r="L260" t="s">
        <v>59</v>
      </c>
      <c r="M260" t="s">
        <v>40</v>
      </c>
      <c r="N260" t="s">
        <v>24</v>
      </c>
      <c r="O260" t="s">
        <v>84</v>
      </c>
      <c r="P260" t="s">
        <v>35</v>
      </c>
      <c r="Q260">
        <v>599</v>
      </c>
      <c r="R260">
        <v>490</v>
      </c>
    </row>
    <row r="261" spans="1:18">
      <c r="A261" t="s">
        <v>336</v>
      </c>
      <c r="B261" t="s">
        <v>19</v>
      </c>
      <c r="C261" t="s">
        <v>20</v>
      </c>
      <c r="D261" s="8">
        <v>2020</v>
      </c>
      <c r="E261" s="29">
        <v>6</v>
      </c>
      <c r="F261">
        <v>8</v>
      </c>
      <c r="G261">
        <v>128</v>
      </c>
      <c r="H261">
        <v>98</v>
      </c>
      <c r="I261">
        <v>64</v>
      </c>
      <c r="J261">
        <v>6.4</v>
      </c>
      <c r="K261" t="s">
        <v>21</v>
      </c>
      <c r="L261" t="s">
        <v>59</v>
      </c>
      <c r="M261" t="s">
        <v>23</v>
      </c>
      <c r="N261" t="s">
        <v>33</v>
      </c>
      <c r="O261" t="s">
        <v>25</v>
      </c>
      <c r="P261" t="s">
        <v>35</v>
      </c>
      <c r="Q261">
        <v>599</v>
      </c>
      <c r="R261">
        <v>536</v>
      </c>
    </row>
    <row r="262" spans="1:18">
      <c r="A262" t="s">
        <v>337</v>
      </c>
      <c r="B262" t="s">
        <v>89</v>
      </c>
      <c r="C262" t="s">
        <v>90</v>
      </c>
      <c r="D262" s="8">
        <v>2023</v>
      </c>
      <c r="E262" s="29">
        <v>3</v>
      </c>
      <c r="F262">
        <v>6</v>
      </c>
      <c r="G262">
        <v>64</v>
      </c>
      <c r="H262">
        <v>75</v>
      </c>
      <c r="I262">
        <v>48</v>
      </c>
      <c r="J262">
        <v>6.1</v>
      </c>
      <c r="K262" t="s">
        <v>91</v>
      </c>
      <c r="L262" t="s">
        <v>59</v>
      </c>
      <c r="M262" t="s">
        <v>32</v>
      </c>
      <c r="N262" t="s">
        <v>33</v>
      </c>
      <c r="O262" t="s">
        <v>25</v>
      </c>
      <c r="P262" t="s">
        <v>26</v>
      </c>
      <c r="Q262">
        <v>449</v>
      </c>
      <c r="R262">
        <v>388</v>
      </c>
    </row>
    <row r="263" spans="1:18">
      <c r="A263" t="s">
        <v>338</v>
      </c>
      <c r="B263" t="s">
        <v>77</v>
      </c>
      <c r="C263" t="s">
        <v>78</v>
      </c>
      <c r="D263" s="8">
        <v>2024</v>
      </c>
      <c r="E263" s="29">
        <v>2</v>
      </c>
      <c r="F263">
        <v>12</v>
      </c>
      <c r="G263">
        <v>128</v>
      </c>
      <c r="H263">
        <v>94</v>
      </c>
      <c r="I263">
        <v>50</v>
      </c>
      <c r="J263">
        <v>6.2</v>
      </c>
      <c r="K263" t="s">
        <v>79</v>
      </c>
      <c r="L263" t="s">
        <v>22</v>
      </c>
      <c r="M263" t="s">
        <v>32</v>
      </c>
      <c r="N263" t="s">
        <v>33</v>
      </c>
      <c r="O263" t="s">
        <v>87</v>
      </c>
      <c r="P263" t="s">
        <v>26</v>
      </c>
      <c r="Q263">
        <v>699</v>
      </c>
      <c r="R263">
        <v>512</v>
      </c>
    </row>
    <row r="264" spans="1:18">
      <c r="A264" t="s">
        <v>339</v>
      </c>
      <c r="B264" t="s">
        <v>37</v>
      </c>
      <c r="C264" t="s">
        <v>38</v>
      </c>
      <c r="D264" s="8">
        <v>2023</v>
      </c>
      <c r="E264" s="29">
        <v>3</v>
      </c>
      <c r="F264">
        <v>6</v>
      </c>
      <c r="G264">
        <v>64</v>
      </c>
      <c r="H264">
        <v>85</v>
      </c>
      <c r="I264">
        <v>50</v>
      </c>
      <c r="J264">
        <v>6.78</v>
      </c>
      <c r="K264" t="s">
        <v>39</v>
      </c>
      <c r="L264" t="s">
        <v>22</v>
      </c>
      <c r="M264" t="s">
        <v>60</v>
      </c>
      <c r="N264" t="s">
        <v>33</v>
      </c>
      <c r="O264" t="s">
        <v>25</v>
      </c>
      <c r="P264" t="s">
        <v>26</v>
      </c>
      <c r="Q264">
        <v>599</v>
      </c>
      <c r="R264">
        <v>417</v>
      </c>
    </row>
    <row r="265" spans="1:18">
      <c r="A265" t="s">
        <v>340</v>
      </c>
      <c r="B265" t="s">
        <v>28</v>
      </c>
      <c r="C265" t="s">
        <v>29</v>
      </c>
      <c r="D265" s="8">
        <v>2023</v>
      </c>
      <c r="E265" s="29">
        <v>3</v>
      </c>
      <c r="F265">
        <v>12</v>
      </c>
      <c r="G265">
        <v>64</v>
      </c>
      <c r="H265">
        <v>84</v>
      </c>
      <c r="I265">
        <v>64</v>
      </c>
      <c r="J265">
        <v>6.78</v>
      </c>
      <c r="K265" t="s">
        <v>30</v>
      </c>
      <c r="L265" t="s">
        <v>31</v>
      </c>
      <c r="M265" t="s">
        <v>60</v>
      </c>
      <c r="N265" t="s">
        <v>24</v>
      </c>
      <c r="O265" t="s">
        <v>61</v>
      </c>
      <c r="P265" t="s">
        <v>26</v>
      </c>
      <c r="Q265">
        <v>599</v>
      </c>
      <c r="R265">
        <v>581</v>
      </c>
    </row>
    <row r="266" spans="1:18">
      <c r="A266" t="s">
        <v>341</v>
      </c>
      <c r="B266" t="s">
        <v>28</v>
      </c>
      <c r="C266" t="s">
        <v>29</v>
      </c>
      <c r="D266" s="8">
        <v>2023</v>
      </c>
      <c r="E266" s="29">
        <v>3</v>
      </c>
      <c r="F266">
        <v>8</v>
      </c>
      <c r="G266">
        <v>128</v>
      </c>
      <c r="H266">
        <v>98</v>
      </c>
      <c r="I266">
        <v>48</v>
      </c>
      <c r="J266">
        <v>6.2</v>
      </c>
      <c r="K266" t="s">
        <v>30</v>
      </c>
      <c r="L266" t="s">
        <v>22</v>
      </c>
      <c r="M266" t="s">
        <v>60</v>
      </c>
      <c r="N266" t="s">
        <v>33</v>
      </c>
      <c r="O266" t="s">
        <v>61</v>
      </c>
      <c r="P266" t="s">
        <v>26</v>
      </c>
      <c r="Q266">
        <v>599</v>
      </c>
      <c r="R266">
        <v>457</v>
      </c>
    </row>
    <row r="267" spans="1:18">
      <c r="A267" t="s">
        <v>342</v>
      </c>
      <c r="B267" t="s">
        <v>19</v>
      </c>
      <c r="C267" t="s">
        <v>20</v>
      </c>
      <c r="D267" s="8">
        <v>2021</v>
      </c>
      <c r="E267" s="29">
        <v>5</v>
      </c>
      <c r="F267">
        <v>8</v>
      </c>
      <c r="G267">
        <v>256</v>
      </c>
      <c r="H267">
        <v>81</v>
      </c>
      <c r="I267">
        <v>108</v>
      </c>
      <c r="J267">
        <v>6.1</v>
      </c>
      <c r="K267" t="s">
        <v>21</v>
      </c>
      <c r="L267" t="s">
        <v>31</v>
      </c>
      <c r="M267" t="s">
        <v>60</v>
      </c>
      <c r="N267" t="s">
        <v>24</v>
      </c>
      <c r="O267" t="s">
        <v>25</v>
      </c>
      <c r="P267" t="s">
        <v>35</v>
      </c>
      <c r="Q267">
        <v>599</v>
      </c>
      <c r="R267">
        <v>589</v>
      </c>
    </row>
    <row r="268" spans="1:18">
      <c r="A268" t="s">
        <v>343</v>
      </c>
      <c r="B268" t="s">
        <v>44</v>
      </c>
      <c r="C268" t="s">
        <v>45</v>
      </c>
      <c r="D268" s="8">
        <v>2020</v>
      </c>
      <c r="E268" s="29">
        <v>6</v>
      </c>
      <c r="F268">
        <v>4</v>
      </c>
      <c r="G268">
        <v>128</v>
      </c>
      <c r="H268">
        <v>84</v>
      </c>
      <c r="I268">
        <v>108</v>
      </c>
      <c r="J268">
        <v>6.2</v>
      </c>
      <c r="K268" t="s">
        <v>46</v>
      </c>
      <c r="L268" t="s">
        <v>57</v>
      </c>
      <c r="M268" t="s">
        <v>47</v>
      </c>
      <c r="N268" t="s">
        <v>24</v>
      </c>
      <c r="O268" t="s">
        <v>61</v>
      </c>
      <c r="P268" t="s">
        <v>26</v>
      </c>
      <c r="Q268">
        <v>799</v>
      </c>
      <c r="R268">
        <v>414</v>
      </c>
    </row>
    <row r="269" spans="1:18">
      <c r="A269" t="s">
        <v>344</v>
      </c>
      <c r="B269" t="s">
        <v>37</v>
      </c>
      <c r="C269" t="s">
        <v>38</v>
      </c>
      <c r="D269" s="8">
        <v>2022</v>
      </c>
      <c r="E269" s="29">
        <v>4</v>
      </c>
      <c r="F269">
        <v>6</v>
      </c>
      <c r="G269">
        <v>512</v>
      </c>
      <c r="H269">
        <v>100</v>
      </c>
      <c r="I269">
        <v>50</v>
      </c>
      <c r="J269">
        <v>6.4</v>
      </c>
      <c r="K269" t="s">
        <v>39</v>
      </c>
      <c r="L269" t="s">
        <v>22</v>
      </c>
      <c r="M269" t="s">
        <v>23</v>
      </c>
      <c r="N269" t="s">
        <v>24</v>
      </c>
      <c r="O269" t="s">
        <v>84</v>
      </c>
      <c r="P269" t="s">
        <v>35</v>
      </c>
      <c r="Q269">
        <v>599</v>
      </c>
      <c r="R269">
        <v>497</v>
      </c>
    </row>
    <row r="270" spans="1:18">
      <c r="A270" t="s">
        <v>345</v>
      </c>
      <c r="B270" t="s">
        <v>89</v>
      </c>
      <c r="C270" t="s">
        <v>90</v>
      </c>
      <c r="D270" s="8">
        <v>2024</v>
      </c>
      <c r="E270" s="29">
        <v>2</v>
      </c>
      <c r="F270">
        <v>4</v>
      </c>
      <c r="G270">
        <v>64</v>
      </c>
      <c r="H270">
        <v>80</v>
      </c>
      <c r="I270">
        <v>12</v>
      </c>
      <c r="J270">
        <v>6.7</v>
      </c>
      <c r="K270" t="s">
        <v>91</v>
      </c>
      <c r="L270" t="s">
        <v>59</v>
      </c>
      <c r="M270" t="s">
        <v>40</v>
      </c>
      <c r="N270" t="s">
        <v>33</v>
      </c>
      <c r="O270" t="s">
        <v>84</v>
      </c>
      <c r="P270" t="s">
        <v>26</v>
      </c>
      <c r="Q270">
        <v>449</v>
      </c>
      <c r="R270">
        <v>394</v>
      </c>
    </row>
    <row r="271" spans="1:18">
      <c r="A271" t="s">
        <v>346</v>
      </c>
      <c r="B271" t="s">
        <v>77</v>
      </c>
      <c r="C271" t="s">
        <v>78</v>
      </c>
      <c r="D271" s="8">
        <v>2020</v>
      </c>
      <c r="E271" s="29">
        <v>6</v>
      </c>
      <c r="F271">
        <v>4</v>
      </c>
      <c r="G271">
        <v>512</v>
      </c>
      <c r="H271">
        <v>98</v>
      </c>
      <c r="I271">
        <v>48</v>
      </c>
      <c r="J271">
        <v>6.67</v>
      </c>
      <c r="K271" t="s">
        <v>79</v>
      </c>
      <c r="L271" t="s">
        <v>59</v>
      </c>
      <c r="M271" t="s">
        <v>86</v>
      </c>
      <c r="N271" t="s">
        <v>33</v>
      </c>
      <c r="O271" t="s">
        <v>48</v>
      </c>
      <c r="P271" t="s">
        <v>35</v>
      </c>
      <c r="Q271">
        <v>699</v>
      </c>
      <c r="R271">
        <v>654</v>
      </c>
    </row>
    <row r="272" spans="1:18">
      <c r="A272" t="s">
        <v>347</v>
      </c>
      <c r="B272" t="s">
        <v>44</v>
      </c>
      <c r="C272" t="s">
        <v>45</v>
      </c>
      <c r="D272" s="8">
        <v>2021</v>
      </c>
      <c r="E272" s="29">
        <v>5</v>
      </c>
      <c r="F272">
        <v>8</v>
      </c>
      <c r="G272">
        <v>512</v>
      </c>
      <c r="H272">
        <v>89</v>
      </c>
      <c r="I272">
        <v>108</v>
      </c>
      <c r="J272">
        <v>6.2</v>
      </c>
      <c r="K272" t="s">
        <v>46</v>
      </c>
      <c r="L272" t="s">
        <v>59</v>
      </c>
      <c r="M272" t="s">
        <v>60</v>
      </c>
      <c r="N272" t="s">
        <v>33</v>
      </c>
      <c r="O272" t="s">
        <v>48</v>
      </c>
      <c r="P272" t="s">
        <v>26</v>
      </c>
      <c r="Q272">
        <v>799</v>
      </c>
      <c r="R272">
        <v>726</v>
      </c>
    </row>
    <row r="273" spans="1:18">
      <c r="A273" t="s">
        <v>348</v>
      </c>
      <c r="B273" t="s">
        <v>89</v>
      </c>
      <c r="C273" t="s">
        <v>90</v>
      </c>
      <c r="D273" s="8">
        <v>2020</v>
      </c>
      <c r="E273" s="29">
        <v>6</v>
      </c>
      <c r="F273">
        <v>4</v>
      </c>
      <c r="G273">
        <v>512</v>
      </c>
      <c r="H273">
        <v>93</v>
      </c>
      <c r="I273">
        <v>50</v>
      </c>
      <c r="J273">
        <v>6.78</v>
      </c>
      <c r="K273" t="s">
        <v>91</v>
      </c>
      <c r="L273" t="s">
        <v>57</v>
      </c>
      <c r="M273" t="s">
        <v>23</v>
      </c>
      <c r="N273" t="s">
        <v>24</v>
      </c>
      <c r="O273" t="s">
        <v>34</v>
      </c>
      <c r="P273" t="s">
        <v>35</v>
      </c>
      <c r="Q273">
        <v>449</v>
      </c>
      <c r="R273">
        <v>316</v>
      </c>
    </row>
    <row r="274" spans="1:18">
      <c r="A274" t="s">
        <v>349</v>
      </c>
      <c r="B274" t="s">
        <v>77</v>
      </c>
      <c r="C274" t="s">
        <v>78</v>
      </c>
      <c r="D274" s="8">
        <v>2023</v>
      </c>
      <c r="E274" s="29">
        <v>3</v>
      </c>
      <c r="F274">
        <v>4</v>
      </c>
      <c r="G274">
        <v>512</v>
      </c>
      <c r="H274">
        <v>83</v>
      </c>
      <c r="I274">
        <v>50</v>
      </c>
      <c r="J274">
        <v>6.1</v>
      </c>
      <c r="K274" t="s">
        <v>79</v>
      </c>
      <c r="L274" t="s">
        <v>59</v>
      </c>
      <c r="M274" t="s">
        <v>60</v>
      </c>
      <c r="N274" t="s">
        <v>24</v>
      </c>
      <c r="O274" t="s">
        <v>41</v>
      </c>
      <c r="P274" t="s">
        <v>35</v>
      </c>
      <c r="Q274">
        <v>699</v>
      </c>
      <c r="R274">
        <v>649</v>
      </c>
    </row>
    <row r="275" spans="1:18">
      <c r="A275" t="s">
        <v>350</v>
      </c>
      <c r="B275" t="s">
        <v>73</v>
      </c>
      <c r="C275" t="s">
        <v>74</v>
      </c>
      <c r="D275" s="8">
        <v>2021</v>
      </c>
      <c r="E275" s="29">
        <v>5</v>
      </c>
      <c r="F275">
        <v>4</v>
      </c>
      <c r="G275">
        <v>64</v>
      </c>
      <c r="H275">
        <v>100</v>
      </c>
      <c r="I275">
        <v>64</v>
      </c>
      <c r="J275">
        <v>6.1</v>
      </c>
      <c r="K275" t="s">
        <v>75</v>
      </c>
      <c r="L275" t="s">
        <v>57</v>
      </c>
      <c r="M275" t="s">
        <v>86</v>
      </c>
      <c r="N275" t="s">
        <v>33</v>
      </c>
      <c r="O275" t="s">
        <v>84</v>
      </c>
      <c r="P275" t="s">
        <v>26</v>
      </c>
      <c r="Q275">
        <v>799</v>
      </c>
      <c r="R275">
        <v>397</v>
      </c>
    </row>
    <row r="276" spans="1:18">
      <c r="A276" t="s">
        <v>351</v>
      </c>
      <c r="B276" t="s">
        <v>68</v>
      </c>
      <c r="C276" t="s">
        <v>81</v>
      </c>
      <c r="D276" s="8">
        <v>2024</v>
      </c>
      <c r="E276" s="29">
        <v>2</v>
      </c>
      <c r="F276">
        <v>6</v>
      </c>
      <c r="G276">
        <v>128</v>
      </c>
      <c r="H276">
        <v>95</v>
      </c>
      <c r="I276">
        <v>50</v>
      </c>
      <c r="J276">
        <v>6.5</v>
      </c>
      <c r="K276" t="s">
        <v>82</v>
      </c>
      <c r="L276" t="s">
        <v>22</v>
      </c>
      <c r="M276" t="s">
        <v>23</v>
      </c>
      <c r="N276" t="s">
        <v>33</v>
      </c>
      <c r="O276" t="s">
        <v>25</v>
      </c>
      <c r="P276" t="s">
        <v>26</v>
      </c>
      <c r="Q276">
        <v>299</v>
      </c>
      <c r="R276">
        <v>255</v>
      </c>
    </row>
    <row r="277" spans="1:18">
      <c r="A277" t="s">
        <v>352</v>
      </c>
      <c r="B277" t="s">
        <v>73</v>
      </c>
      <c r="C277" t="s">
        <v>105</v>
      </c>
      <c r="D277" s="8">
        <v>2022</v>
      </c>
      <c r="E277" s="29">
        <v>4</v>
      </c>
      <c r="F277">
        <v>6</v>
      </c>
      <c r="G277">
        <v>512</v>
      </c>
      <c r="H277">
        <v>79</v>
      </c>
      <c r="I277">
        <v>108</v>
      </c>
      <c r="J277">
        <v>6.7</v>
      </c>
      <c r="K277" t="s">
        <v>75</v>
      </c>
      <c r="L277" t="s">
        <v>22</v>
      </c>
      <c r="M277" t="s">
        <v>86</v>
      </c>
      <c r="N277" t="s">
        <v>24</v>
      </c>
      <c r="O277" t="s">
        <v>87</v>
      </c>
      <c r="P277" t="s">
        <v>35</v>
      </c>
      <c r="Q277">
        <v>899</v>
      </c>
      <c r="R277">
        <v>696</v>
      </c>
    </row>
    <row r="278" spans="1:18">
      <c r="A278" t="s">
        <v>353</v>
      </c>
      <c r="B278" t="s">
        <v>54</v>
      </c>
      <c r="C278" t="s">
        <v>55</v>
      </c>
      <c r="D278" s="8">
        <v>2023</v>
      </c>
      <c r="E278" s="29">
        <v>3</v>
      </c>
      <c r="F278">
        <v>6</v>
      </c>
      <c r="G278">
        <v>256</v>
      </c>
      <c r="H278">
        <v>93</v>
      </c>
      <c r="I278">
        <v>108</v>
      </c>
      <c r="J278">
        <v>6.5</v>
      </c>
      <c r="K278" t="s">
        <v>56</v>
      </c>
      <c r="L278" t="s">
        <v>59</v>
      </c>
      <c r="M278" t="s">
        <v>60</v>
      </c>
      <c r="N278" t="s">
        <v>24</v>
      </c>
      <c r="O278" t="s">
        <v>34</v>
      </c>
      <c r="P278" t="s">
        <v>26</v>
      </c>
      <c r="Q278">
        <v>549</v>
      </c>
      <c r="R278">
        <v>512</v>
      </c>
    </row>
    <row r="279" spans="1:18">
      <c r="A279" t="s">
        <v>354</v>
      </c>
      <c r="B279" t="s">
        <v>68</v>
      </c>
      <c r="C279" t="s">
        <v>81</v>
      </c>
      <c r="D279" s="8">
        <v>2020</v>
      </c>
      <c r="E279" s="29">
        <v>6</v>
      </c>
      <c r="F279">
        <v>6</v>
      </c>
      <c r="G279">
        <v>64</v>
      </c>
      <c r="H279">
        <v>76</v>
      </c>
      <c r="I279">
        <v>64</v>
      </c>
      <c r="J279">
        <v>6.2</v>
      </c>
      <c r="K279" t="s">
        <v>82</v>
      </c>
      <c r="L279" t="s">
        <v>22</v>
      </c>
      <c r="M279" t="s">
        <v>86</v>
      </c>
      <c r="N279" t="s">
        <v>24</v>
      </c>
      <c r="O279" t="s">
        <v>34</v>
      </c>
      <c r="P279" t="s">
        <v>26</v>
      </c>
      <c r="Q279">
        <v>299</v>
      </c>
      <c r="R279">
        <v>238</v>
      </c>
    </row>
    <row r="280" spans="1:18">
      <c r="A280" t="s">
        <v>355</v>
      </c>
      <c r="B280" t="s">
        <v>77</v>
      </c>
      <c r="C280" t="s">
        <v>78</v>
      </c>
      <c r="D280" s="8">
        <v>2022</v>
      </c>
      <c r="E280" s="29">
        <v>4</v>
      </c>
      <c r="F280">
        <v>4</v>
      </c>
      <c r="G280">
        <v>64</v>
      </c>
      <c r="H280">
        <v>79</v>
      </c>
      <c r="I280">
        <v>64</v>
      </c>
      <c r="J280">
        <v>6.2</v>
      </c>
      <c r="K280" t="s">
        <v>79</v>
      </c>
      <c r="L280" t="s">
        <v>22</v>
      </c>
      <c r="M280" t="s">
        <v>60</v>
      </c>
      <c r="N280" t="s">
        <v>24</v>
      </c>
      <c r="O280" t="s">
        <v>87</v>
      </c>
      <c r="P280" t="s">
        <v>35</v>
      </c>
      <c r="Q280">
        <v>699</v>
      </c>
      <c r="R280">
        <v>430</v>
      </c>
    </row>
    <row r="281" spans="1:18">
      <c r="A281" t="s">
        <v>356</v>
      </c>
      <c r="B281" t="s">
        <v>89</v>
      </c>
      <c r="C281" t="s">
        <v>90</v>
      </c>
      <c r="D281" s="8">
        <v>2024</v>
      </c>
      <c r="E281" s="29">
        <v>2</v>
      </c>
      <c r="F281">
        <v>8</v>
      </c>
      <c r="G281">
        <v>512</v>
      </c>
      <c r="H281">
        <v>99</v>
      </c>
      <c r="I281">
        <v>64</v>
      </c>
      <c r="J281">
        <v>6.5</v>
      </c>
      <c r="K281" t="s">
        <v>91</v>
      </c>
      <c r="L281" t="s">
        <v>57</v>
      </c>
      <c r="M281" t="s">
        <v>40</v>
      </c>
      <c r="N281" t="s">
        <v>24</v>
      </c>
      <c r="O281" t="s">
        <v>41</v>
      </c>
      <c r="P281" t="s">
        <v>35</v>
      </c>
      <c r="Q281">
        <v>449</v>
      </c>
      <c r="R281">
        <v>361</v>
      </c>
    </row>
    <row r="282" spans="1:18">
      <c r="A282" t="s">
        <v>357</v>
      </c>
      <c r="B282" t="s">
        <v>37</v>
      </c>
      <c r="C282" t="s">
        <v>38</v>
      </c>
      <c r="D282" s="8">
        <v>2023</v>
      </c>
      <c r="E282" s="29">
        <v>3</v>
      </c>
      <c r="F282">
        <v>4</v>
      </c>
      <c r="G282">
        <v>256</v>
      </c>
      <c r="H282">
        <v>79</v>
      </c>
      <c r="I282">
        <v>50</v>
      </c>
      <c r="J282">
        <v>6.7</v>
      </c>
      <c r="K282" t="s">
        <v>39</v>
      </c>
      <c r="L282" t="s">
        <v>59</v>
      </c>
      <c r="M282" t="s">
        <v>23</v>
      </c>
      <c r="N282" t="s">
        <v>24</v>
      </c>
      <c r="O282" t="s">
        <v>34</v>
      </c>
      <c r="P282" t="s">
        <v>26</v>
      </c>
      <c r="Q282">
        <v>599</v>
      </c>
      <c r="R282">
        <v>527</v>
      </c>
    </row>
    <row r="283" spans="1:18">
      <c r="A283" t="s">
        <v>358</v>
      </c>
      <c r="B283" t="s">
        <v>54</v>
      </c>
      <c r="C283" t="s">
        <v>55</v>
      </c>
      <c r="D283" s="8">
        <v>2023</v>
      </c>
      <c r="E283" s="29">
        <v>3</v>
      </c>
      <c r="F283">
        <v>4</v>
      </c>
      <c r="G283">
        <v>64</v>
      </c>
      <c r="H283">
        <v>78</v>
      </c>
      <c r="I283">
        <v>12</v>
      </c>
      <c r="J283">
        <v>6.5</v>
      </c>
      <c r="K283" t="s">
        <v>56</v>
      </c>
      <c r="L283" t="s">
        <v>57</v>
      </c>
      <c r="M283" t="s">
        <v>40</v>
      </c>
      <c r="N283" t="s">
        <v>33</v>
      </c>
      <c r="O283" t="s">
        <v>41</v>
      </c>
      <c r="P283" t="s">
        <v>35</v>
      </c>
      <c r="Q283">
        <v>549</v>
      </c>
      <c r="R283">
        <v>302</v>
      </c>
    </row>
    <row r="284" spans="1:18">
      <c r="A284" t="s">
        <v>359</v>
      </c>
      <c r="B284" t="s">
        <v>44</v>
      </c>
      <c r="C284" t="s">
        <v>45</v>
      </c>
      <c r="D284" s="8">
        <v>2024</v>
      </c>
      <c r="E284" s="29">
        <v>2</v>
      </c>
      <c r="F284">
        <v>4</v>
      </c>
      <c r="G284">
        <v>512</v>
      </c>
      <c r="H284">
        <v>90</v>
      </c>
      <c r="I284">
        <v>50</v>
      </c>
      <c r="J284">
        <v>6.2</v>
      </c>
      <c r="K284" t="s">
        <v>46</v>
      </c>
      <c r="L284" t="s">
        <v>59</v>
      </c>
      <c r="M284" t="s">
        <v>23</v>
      </c>
      <c r="N284" t="s">
        <v>33</v>
      </c>
      <c r="O284" t="s">
        <v>52</v>
      </c>
      <c r="P284" t="s">
        <v>26</v>
      </c>
      <c r="Q284">
        <v>799</v>
      </c>
      <c r="R284">
        <v>697</v>
      </c>
    </row>
    <row r="285" spans="1:18">
      <c r="A285" t="s">
        <v>360</v>
      </c>
      <c r="B285" t="s">
        <v>19</v>
      </c>
      <c r="C285" t="s">
        <v>20</v>
      </c>
      <c r="D285" s="8">
        <v>2024</v>
      </c>
      <c r="E285" s="29">
        <v>2</v>
      </c>
      <c r="F285">
        <v>12</v>
      </c>
      <c r="G285">
        <v>128</v>
      </c>
      <c r="H285">
        <v>86</v>
      </c>
      <c r="I285">
        <v>64</v>
      </c>
      <c r="J285">
        <v>6.2</v>
      </c>
      <c r="K285" t="s">
        <v>21</v>
      </c>
      <c r="L285" t="s">
        <v>22</v>
      </c>
      <c r="M285" t="s">
        <v>60</v>
      </c>
      <c r="N285" t="s">
        <v>33</v>
      </c>
      <c r="O285" t="s">
        <v>84</v>
      </c>
      <c r="P285" t="s">
        <v>26</v>
      </c>
      <c r="Q285">
        <v>599</v>
      </c>
      <c r="R285">
        <v>443</v>
      </c>
    </row>
    <row r="286" spans="1:18">
      <c r="A286" t="s">
        <v>361</v>
      </c>
      <c r="B286" t="s">
        <v>77</v>
      </c>
      <c r="C286" t="s">
        <v>78</v>
      </c>
      <c r="D286" s="8">
        <v>2020</v>
      </c>
      <c r="E286" s="29">
        <v>6</v>
      </c>
      <c r="F286">
        <v>8</v>
      </c>
      <c r="G286">
        <v>256</v>
      </c>
      <c r="H286">
        <v>91</v>
      </c>
      <c r="I286">
        <v>12</v>
      </c>
      <c r="J286">
        <v>6.4</v>
      </c>
      <c r="K286" t="s">
        <v>79</v>
      </c>
      <c r="L286" t="s">
        <v>22</v>
      </c>
      <c r="M286" t="s">
        <v>47</v>
      </c>
      <c r="N286" t="s">
        <v>24</v>
      </c>
      <c r="O286" t="s">
        <v>25</v>
      </c>
      <c r="P286" t="s">
        <v>26</v>
      </c>
      <c r="Q286">
        <v>699</v>
      </c>
      <c r="R286">
        <v>513</v>
      </c>
    </row>
    <row r="287" spans="1:18">
      <c r="A287" t="s">
        <v>362</v>
      </c>
      <c r="B287" t="s">
        <v>77</v>
      </c>
      <c r="C287" t="s">
        <v>78</v>
      </c>
      <c r="D287" s="8">
        <v>2020</v>
      </c>
      <c r="E287" s="29">
        <v>6</v>
      </c>
      <c r="F287">
        <v>12</v>
      </c>
      <c r="G287">
        <v>512</v>
      </c>
      <c r="H287">
        <v>85</v>
      </c>
      <c r="I287">
        <v>48</v>
      </c>
      <c r="J287">
        <v>6.4</v>
      </c>
      <c r="K287" t="s">
        <v>79</v>
      </c>
      <c r="L287" t="s">
        <v>59</v>
      </c>
      <c r="M287" t="s">
        <v>60</v>
      </c>
      <c r="N287" t="s">
        <v>24</v>
      </c>
      <c r="O287" t="s">
        <v>25</v>
      </c>
      <c r="P287" t="s">
        <v>26</v>
      </c>
      <c r="Q287">
        <v>699</v>
      </c>
      <c r="R287">
        <v>687</v>
      </c>
    </row>
    <row r="288" spans="1:18">
      <c r="A288" t="s">
        <v>363</v>
      </c>
      <c r="B288" t="s">
        <v>89</v>
      </c>
      <c r="C288" t="s">
        <v>115</v>
      </c>
      <c r="D288" s="8">
        <v>2021</v>
      </c>
      <c r="E288" s="29">
        <v>5</v>
      </c>
      <c r="F288">
        <v>12</v>
      </c>
      <c r="G288">
        <v>256</v>
      </c>
      <c r="H288">
        <v>99</v>
      </c>
      <c r="I288">
        <v>50</v>
      </c>
      <c r="J288">
        <v>6.7</v>
      </c>
      <c r="K288" t="s">
        <v>116</v>
      </c>
      <c r="L288" t="s">
        <v>59</v>
      </c>
      <c r="M288" t="s">
        <v>40</v>
      </c>
      <c r="N288" t="s">
        <v>24</v>
      </c>
      <c r="O288" t="s">
        <v>41</v>
      </c>
      <c r="P288" t="s">
        <v>26</v>
      </c>
      <c r="Q288">
        <v>999</v>
      </c>
      <c r="R288">
        <v>829</v>
      </c>
    </row>
    <row r="289" spans="1:18">
      <c r="A289" t="s">
        <v>364</v>
      </c>
      <c r="B289" t="s">
        <v>37</v>
      </c>
      <c r="C289" t="s">
        <v>38</v>
      </c>
      <c r="D289" s="8">
        <v>2022</v>
      </c>
      <c r="E289" s="29">
        <v>4</v>
      </c>
      <c r="F289">
        <v>6</v>
      </c>
      <c r="G289">
        <v>64</v>
      </c>
      <c r="H289">
        <v>95</v>
      </c>
      <c r="I289">
        <v>50</v>
      </c>
      <c r="J289">
        <v>6.78</v>
      </c>
      <c r="K289" t="s">
        <v>39</v>
      </c>
      <c r="L289" t="s">
        <v>31</v>
      </c>
      <c r="M289" t="s">
        <v>47</v>
      </c>
      <c r="N289" t="s">
        <v>33</v>
      </c>
      <c r="O289" t="s">
        <v>61</v>
      </c>
      <c r="P289" t="s">
        <v>26</v>
      </c>
      <c r="Q289">
        <v>599</v>
      </c>
      <c r="R289">
        <v>547</v>
      </c>
    </row>
    <row r="290" spans="1:18">
      <c r="A290" t="s">
        <v>365</v>
      </c>
      <c r="B290" t="s">
        <v>64</v>
      </c>
      <c r="C290" t="s">
        <v>65</v>
      </c>
      <c r="D290" s="8">
        <v>2020</v>
      </c>
      <c r="E290" s="29">
        <v>6</v>
      </c>
      <c r="F290">
        <v>8</v>
      </c>
      <c r="G290">
        <v>64</v>
      </c>
      <c r="H290">
        <v>94</v>
      </c>
      <c r="I290">
        <v>108</v>
      </c>
      <c r="J290">
        <v>6.2</v>
      </c>
      <c r="K290" t="s">
        <v>66</v>
      </c>
      <c r="L290" t="s">
        <v>59</v>
      </c>
      <c r="M290" t="s">
        <v>60</v>
      </c>
      <c r="N290" t="s">
        <v>24</v>
      </c>
      <c r="O290" t="s">
        <v>48</v>
      </c>
      <c r="P290" t="s">
        <v>35</v>
      </c>
      <c r="Q290">
        <v>499</v>
      </c>
      <c r="R290">
        <v>457</v>
      </c>
    </row>
    <row r="291" spans="1:18">
      <c r="A291" t="s">
        <v>366</v>
      </c>
      <c r="B291" t="s">
        <v>73</v>
      </c>
      <c r="C291" t="s">
        <v>122</v>
      </c>
      <c r="D291" s="8">
        <v>2023</v>
      </c>
      <c r="E291" s="29">
        <v>3</v>
      </c>
      <c r="F291">
        <v>8</v>
      </c>
      <c r="G291">
        <v>64</v>
      </c>
      <c r="H291">
        <v>95</v>
      </c>
      <c r="I291">
        <v>12</v>
      </c>
      <c r="J291">
        <v>6.7</v>
      </c>
      <c r="K291" t="s">
        <v>123</v>
      </c>
      <c r="L291" t="s">
        <v>22</v>
      </c>
      <c r="M291" t="s">
        <v>47</v>
      </c>
      <c r="N291" t="s">
        <v>33</v>
      </c>
      <c r="O291" t="s">
        <v>84</v>
      </c>
      <c r="P291" t="s">
        <v>35</v>
      </c>
      <c r="Q291">
        <v>699</v>
      </c>
      <c r="R291">
        <v>467</v>
      </c>
    </row>
    <row r="292" spans="1:18">
      <c r="A292" t="s">
        <v>367</v>
      </c>
      <c r="B292" t="s">
        <v>54</v>
      </c>
      <c r="C292" t="s">
        <v>55</v>
      </c>
      <c r="D292" s="8">
        <v>2022</v>
      </c>
      <c r="E292" s="29">
        <v>4</v>
      </c>
      <c r="F292">
        <v>4</v>
      </c>
      <c r="G292">
        <v>64</v>
      </c>
      <c r="H292">
        <v>95</v>
      </c>
      <c r="I292">
        <v>64</v>
      </c>
      <c r="J292">
        <v>6.1</v>
      </c>
      <c r="K292" t="s">
        <v>56</v>
      </c>
      <c r="L292" t="s">
        <v>59</v>
      </c>
      <c r="M292" t="s">
        <v>23</v>
      </c>
      <c r="N292" t="s">
        <v>24</v>
      </c>
      <c r="O292" t="s">
        <v>34</v>
      </c>
      <c r="P292" t="s">
        <v>35</v>
      </c>
      <c r="Q292">
        <v>549</v>
      </c>
      <c r="R292">
        <v>433</v>
      </c>
    </row>
    <row r="293" spans="1:18">
      <c r="A293" t="s">
        <v>368</v>
      </c>
      <c r="B293" t="s">
        <v>28</v>
      </c>
      <c r="C293" t="s">
        <v>29</v>
      </c>
      <c r="D293" s="8">
        <v>2022</v>
      </c>
      <c r="E293" s="29">
        <v>4</v>
      </c>
      <c r="F293">
        <v>12</v>
      </c>
      <c r="G293">
        <v>128</v>
      </c>
      <c r="H293">
        <v>80</v>
      </c>
      <c r="I293">
        <v>64</v>
      </c>
      <c r="J293">
        <v>6.1</v>
      </c>
      <c r="K293" t="s">
        <v>30</v>
      </c>
      <c r="L293" t="s">
        <v>31</v>
      </c>
      <c r="M293" t="s">
        <v>86</v>
      </c>
      <c r="N293" t="s">
        <v>33</v>
      </c>
      <c r="O293" t="s">
        <v>87</v>
      </c>
      <c r="P293" t="s">
        <v>26</v>
      </c>
      <c r="Q293">
        <v>599</v>
      </c>
      <c r="R293">
        <v>589</v>
      </c>
    </row>
    <row r="294" spans="1:18">
      <c r="A294" t="s">
        <v>369</v>
      </c>
      <c r="B294" t="s">
        <v>73</v>
      </c>
      <c r="C294" t="s">
        <v>122</v>
      </c>
      <c r="D294" s="8">
        <v>2023</v>
      </c>
      <c r="E294" s="29">
        <v>3</v>
      </c>
      <c r="F294">
        <v>8</v>
      </c>
      <c r="G294">
        <v>64</v>
      </c>
      <c r="H294">
        <v>84</v>
      </c>
      <c r="I294">
        <v>48</v>
      </c>
      <c r="J294">
        <v>6.4</v>
      </c>
      <c r="K294" t="s">
        <v>123</v>
      </c>
      <c r="L294" t="s">
        <v>59</v>
      </c>
      <c r="M294" t="s">
        <v>32</v>
      </c>
      <c r="N294" t="s">
        <v>33</v>
      </c>
      <c r="O294" t="s">
        <v>34</v>
      </c>
      <c r="P294" t="s">
        <v>26</v>
      </c>
      <c r="Q294">
        <v>699</v>
      </c>
      <c r="R294">
        <v>552</v>
      </c>
    </row>
    <row r="295" spans="1:18">
      <c r="A295" t="s">
        <v>370</v>
      </c>
      <c r="B295" t="s">
        <v>37</v>
      </c>
      <c r="C295" t="s">
        <v>38</v>
      </c>
      <c r="D295" s="8">
        <v>2020</v>
      </c>
      <c r="E295" s="29">
        <v>6</v>
      </c>
      <c r="F295">
        <v>12</v>
      </c>
      <c r="G295">
        <v>512</v>
      </c>
      <c r="H295">
        <v>82</v>
      </c>
      <c r="I295">
        <v>48</v>
      </c>
      <c r="J295">
        <v>6.67</v>
      </c>
      <c r="K295" t="s">
        <v>39</v>
      </c>
      <c r="L295" t="s">
        <v>22</v>
      </c>
      <c r="M295" t="s">
        <v>86</v>
      </c>
      <c r="N295" t="s">
        <v>24</v>
      </c>
      <c r="O295" t="s">
        <v>84</v>
      </c>
      <c r="P295" t="s">
        <v>26</v>
      </c>
      <c r="Q295">
        <v>599</v>
      </c>
      <c r="R295">
        <v>514</v>
      </c>
    </row>
    <row r="296" spans="1:18">
      <c r="A296" t="s">
        <v>371</v>
      </c>
      <c r="B296" t="s">
        <v>28</v>
      </c>
      <c r="C296" t="s">
        <v>29</v>
      </c>
      <c r="D296" s="8">
        <v>2020</v>
      </c>
      <c r="E296" s="29">
        <v>6</v>
      </c>
      <c r="F296">
        <v>12</v>
      </c>
      <c r="G296">
        <v>64</v>
      </c>
      <c r="H296">
        <v>99</v>
      </c>
      <c r="I296">
        <v>12</v>
      </c>
      <c r="J296">
        <v>6.7</v>
      </c>
      <c r="K296" t="s">
        <v>30</v>
      </c>
      <c r="L296" t="s">
        <v>31</v>
      </c>
      <c r="M296" t="s">
        <v>40</v>
      </c>
      <c r="N296" t="s">
        <v>33</v>
      </c>
      <c r="O296" t="s">
        <v>34</v>
      </c>
      <c r="P296" t="s">
        <v>35</v>
      </c>
      <c r="Q296">
        <v>599</v>
      </c>
      <c r="R296">
        <v>586</v>
      </c>
    </row>
    <row r="297" spans="1:18">
      <c r="A297" t="s">
        <v>372</v>
      </c>
      <c r="B297" t="s">
        <v>64</v>
      </c>
      <c r="C297" t="s">
        <v>65</v>
      </c>
      <c r="D297" s="8">
        <v>2021</v>
      </c>
      <c r="E297" s="29">
        <v>5</v>
      </c>
      <c r="F297">
        <v>4</v>
      </c>
      <c r="G297">
        <v>128</v>
      </c>
      <c r="H297">
        <v>87</v>
      </c>
      <c r="I297">
        <v>50</v>
      </c>
      <c r="J297">
        <v>6.5</v>
      </c>
      <c r="K297" t="s">
        <v>66</v>
      </c>
      <c r="L297" t="s">
        <v>59</v>
      </c>
      <c r="M297" t="s">
        <v>32</v>
      </c>
      <c r="N297" t="s">
        <v>24</v>
      </c>
      <c r="O297" t="s">
        <v>41</v>
      </c>
      <c r="P297" t="s">
        <v>26</v>
      </c>
      <c r="Q297">
        <v>499</v>
      </c>
      <c r="R297">
        <v>405</v>
      </c>
    </row>
    <row r="298" spans="1:18">
      <c r="A298" t="s">
        <v>373</v>
      </c>
      <c r="B298" t="s">
        <v>54</v>
      </c>
      <c r="C298" t="s">
        <v>55</v>
      </c>
      <c r="D298" s="8">
        <v>2020</v>
      </c>
      <c r="E298" s="29">
        <v>6</v>
      </c>
      <c r="F298">
        <v>8</v>
      </c>
      <c r="G298">
        <v>64</v>
      </c>
      <c r="H298">
        <v>88</v>
      </c>
      <c r="I298">
        <v>12</v>
      </c>
      <c r="J298">
        <v>6.78</v>
      </c>
      <c r="K298" t="s">
        <v>56</v>
      </c>
      <c r="L298" t="s">
        <v>22</v>
      </c>
      <c r="M298" t="s">
        <v>60</v>
      </c>
      <c r="N298" t="s">
        <v>33</v>
      </c>
      <c r="O298" t="s">
        <v>25</v>
      </c>
      <c r="P298" t="s">
        <v>35</v>
      </c>
      <c r="Q298">
        <v>549</v>
      </c>
      <c r="R298">
        <v>361</v>
      </c>
    </row>
    <row r="299" spans="1:18">
      <c r="A299" t="s">
        <v>374</v>
      </c>
      <c r="B299" t="s">
        <v>64</v>
      </c>
      <c r="C299" t="s">
        <v>65</v>
      </c>
      <c r="D299" s="8">
        <v>2020</v>
      </c>
      <c r="E299" s="29">
        <v>6</v>
      </c>
      <c r="F299">
        <v>4</v>
      </c>
      <c r="G299">
        <v>512</v>
      </c>
      <c r="H299">
        <v>87</v>
      </c>
      <c r="I299">
        <v>108</v>
      </c>
      <c r="J299">
        <v>6.1</v>
      </c>
      <c r="K299" t="s">
        <v>66</v>
      </c>
      <c r="L299" t="s">
        <v>59</v>
      </c>
      <c r="M299" t="s">
        <v>40</v>
      </c>
      <c r="N299" t="s">
        <v>33</v>
      </c>
      <c r="O299" t="s">
        <v>87</v>
      </c>
      <c r="P299" t="s">
        <v>35</v>
      </c>
      <c r="Q299">
        <v>499</v>
      </c>
      <c r="R299">
        <v>485</v>
      </c>
    </row>
    <row r="300" spans="1:18">
      <c r="A300" t="s">
        <v>375</v>
      </c>
      <c r="B300" t="s">
        <v>37</v>
      </c>
      <c r="C300" t="s">
        <v>38</v>
      </c>
      <c r="D300" s="8">
        <v>2021</v>
      </c>
      <c r="E300" s="29">
        <v>5</v>
      </c>
      <c r="F300">
        <v>4</v>
      </c>
      <c r="G300">
        <v>512</v>
      </c>
      <c r="H300">
        <v>92</v>
      </c>
      <c r="I300">
        <v>50</v>
      </c>
      <c r="J300">
        <v>6.7</v>
      </c>
      <c r="K300" t="s">
        <v>39</v>
      </c>
      <c r="L300" t="s">
        <v>59</v>
      </c>
      <c r="M300" t="s">
        <v>60</v>
      </c>
      <c r="N300" t="s">
        <v>24</v>
      </c>
      <c r="O300" t="s">
        <v>84</v>
      </c>
      <c r="P300" t="s">
        <v>35</v>
      </c>
      <c r="Q300">
        <v>599</v>
      </c>
      <c r="R300">
        <v>576</v>
      </c>
    </row>
    <row r="301" spans="1:18">
      <c r="A301" t="s">
        <v>376</v>
      </c>
      <c r="B301" t="s">
        <v>68</v>
      </c>
      <c r="C301" t="s">
        <v>69</v>
      </c>
      <c r="D301" s="8">
        <v>2024</v>
      </c>
      <c r="E301" s="29">
        <v>2</v>
      </c>
      <c r="F301">
        <v>12</v>
      </c>
      <c r="G301">
        <v>64</v>
      </c>
      <c r="H301">
        <v>82</v>
      </c>
      <c r="I301">
        <v>12</v>
      </c>
      <c r="J301">
        <v>6.78</v>
      </c>
      <c r="K301" t="s">
        <v>70</v>
      </c>
      <c r="L301" t="s">
        <v>57</v>
      </c>
      <c r="M301" t="s">
        <v>23</v>
      </c>
      <c r="N301" t="s">
        <v>33</v>
      </c>
      <c r="O301" t="s">
        <v>48</v>
      </c>
      <c r="P301" t="s">
        <v>35</v>
      </c>
      <c r="Q301">
        <v>399</v>
      </c>
      <c r="R301">
        <v>257</v>
      </c>
    </row>
    <row r="302" spans="1:18">
      <c r="A302" t="s">
        <v>377</v>
      </c>
      <c r="B302" t="s">
        <v>28</v>
      </c>
      <c r="C302" t="s">
        <v>29</v>
      </c>
      <c r="D302" s="8">
        <v>2020</v>
      </c>
      <c r="E302" s="29">
        <v>6</v>
      </c>
      <c r="F302">
        <v>4</v>
      </c>
      <c r="G302">
        <v>64</v>
      </c>
      <c r="H302">
        <v>79</v>
      </c>
      <c r="I302">
        <v>108</v>
      </c>
      <c r="J302">
        <v>6.67</v>
      </c>
      <c r="K302" t="s">
        <v>30</v>
      </c>
      <c r="L302" t="s">
        <v>31</v>
      </c>
      <c r="M302" t="s">
        <v>23</v>
      </c>
      <c r="N302" t="s">
        <v>33</v>
      </c>
      <c r="O302" t="s">
        <v>61</v>
      </c>
      <c r="P302" t="s">
        <v>35</v>
      </c>
      <c r="Q302">
        <v>599</v>
      </c>
      <c r="R302">
        <v>524</v>
      </c>
    </row>
    <row r="303" spans="1:18">
      <c r="A303" t="s">
        <v>378</v>
      </c>
      <c r="B303" t="s">
        <v>28</v>
      </c>
      <c r="C303" t="s">
        <v>29</v>
      </c>
      <c r="D303" s="8">
        <v>2023</v>
      </c>
      <c r="E303" s="29">
        <v>3</v>
      </c>
      <c r="F303">
        <v>8</v>
      </c>
      <c r="G303">
        <v>512</v>
      </c>
      <c r="H303">
        <v>89</v>
      </c>
      <c r="I303">
        <v>64</v>
      </c>
      <c r="J303">
        <v>6.5</v>
      </c>
      <c r="K303" t="s">
        <v>30</v>
      </c>
      <c r="L303" t="s">
        <v>31</v>
      </c>
      <c r="M303" t="s">
        <v>23</v>
      </c>
      <c r="N303" t="s">
        <v>33</v>
      </c>
      <c r="O303" t="s">
        <v>61</v>
      </c>
      <c r="P303" t="s">
        <v>26</v>
      </c>
      <c r="Q303">
        <v>599</v>
      </c>
      <c r="R303">
        <v>589</v>
      </c>
    </row>
    <row r="304" spans="1:18">
      <c r="A304" t="s">
        <v>379</v>
      </c>
      <c r="B304" t="s">
        <v>77</v>
      </c>
      <c r="C304" t="s">
        <v>78</v>
      </c>
      <c r="D304" s="8">
        <v>2020</v>
      </c>
      <c r="E304" s="29">
        <v>6</v>
      </c>
      <c r="F304">
        <v>8</v>
      </c>
      <c r="G304">
        <v>128</v>
      </c>
      <c r="H304">
        <v>81</v>
      </c>
      <c r="I304">
        <v>108</v>
      </c>
      <c r="J304">
        <v>6.2</v>
      </c>
      <c r="K304" t="s">
        <v>79</v>
      </c>
      <c r="L304" t="s">
        <v>59</v>
      </c>
      <c r="M304" t="s">
        <v>32</v>
      </c>
      <c r="N304" t="s">
        <v>33</v>
      </c>
      <c r="O304" t="s">
        <v>34</v>
      </c>
      <c r="P304" t="s">
        <v>35</v>
      </c>
      <c r="Q304">
        <v>699</v>
      </c>
      <c r="R304">
        <v>590</v>
      </c>
    </row>
    <row r="305" spans="1:18">
      <c r="A305" t="s">
        <v>380</v>
      </c>
      <c r="B305" t="s">
        <v>28</v>
      </c>
      <c r="C305" t="s">
        <v>29</v>
      </c>
      <c r="D305" s="8">
        <v>2021</v>
      </c>
      <c r="E305" s="29">
        <v>5</v>
      </c>
      <c r="F305">
        <v>12</v>
      </c>
      <c r="G305">
        <v>256</v>
      </c>
      <c r="H305">
        <v>98</v>
      </c>
      <c r="I305">
        <v>108</v>
      </c>
      <c r="J305">
        <v>6.1</v>
      </c>
      <c r="K305" t="s">
        <v>30</v>
      </c>
      <c r="L305" t="s">
        <v>22</v>
      </c>
      <c r="M305" t="s">
        <v>86</v>
      </c>
      <c r="N305" t="s">
        <v>24</v>
      </c>
      <c r="O305" t="s">
        <v>41</v>
      </c>
      <c r="P305" t="s">
        <v>26</v>
      </c>
      <c r="Q305">
        <v>599</v>
      </c>
      <c r="R305">
        <v>453</v>
      </c>
    </row>
    <row r="306" spans="1:18">
      <c r="A306" t="s">
        <v>381</v>
      </c>
      <c r="B306" t="s">
        <v>37</v>
      </c>
      <c r="C306" t="s">
        <v>38</v>
      </c>
      <c r="D306" s="8">
        <v>2023</v>
      </c>
      <c r="E306" s="29">
        <v>3</v>
      </c>
      <c r="F306">
        <v>12</v>
      </c>
      <c r="G306">
        <v>128</v>
      </c>
      <c r="H306">
        <v>79</v>
      </c>
      <c r="I306">
        <v>50</v>
      </c>
      <c r="J306">
        <v>6.67</v>
      </c>
      <c r="K306" t="s">
        <v>39</v>
      </c>
      <c r="L306" t="s">
        <v>59</v>
      </c>
      <c r="M306" t="s">
        <v>40</v>
      </c>
      <c r="N306" t="s">
        <v>33</v>
      </c>
      <c r="O306" t="s">
        <v>87</v>
      </c>
      <c r="P306" t="s">
        <v>35</v>
      </c>
      <c r="Q306">
        <v>599</v>
      </c>
      <c r="R306">
        <v>545</v>
      </c>
    </row>
    <row r="307" spans="1:18">
      <c r="A307" t="s">
        <v>382</v>
      </c>
      <c r="B307" t="s">
        <v>28</v>
      </c>
      <c r="C307" t="s">
        <v>29</v>
      </c>
      <c r="D307" s="8">
        <v>2024</v>
      </c>
      <c r="E307" s="29">
        <v>2</v>
      </c>
      <c r="F307">
        <v>6</v>
      </c>
      <c r="G307">
        <v>128</v>
      </c>
      <c r="H307">
        <v>77</v>
      </c>
      <c r="I307">
        <v>48</v>
      </c>
      <c r="J307">
        <v>6.78</v>
      </c>
      <c r="K307" t="s">
        <v>30</v>
      </c>
      <c r="L307" t="s">
        <v>22</v>
      </c>
      <c r="M307" t="s">
        <v>60</v>
      </c>
      <c r="N307" t="s">
        <v>33</v>
      </c>
      <c r="O307" t="s">
        <v>48</v>
      </c>
      <c r="P307" t="s">
        <v>26</v>
      </c>
      <c r="Q307">
        <v>599</v>
      </c>
      <c r="R307">
        <v>398</v>
      </c>
    </row>
    <row r="308" spans="1:18">
      <c r="A308" t="s">
        <v>383</v>
      </c>
      <c r="B308" t="s">
        <v>77</v>
      </c>
      <c r="C308" t="s">
        <v>78</v>
      </c>
      <c r="D308" s="8">
        <v>2021</v>
      </c>
      <c r="E308" s="29">
        <v>5</v>
      </c>
      <c r="F308">
        <v>4</v>
      </c>
      <c r="G308">
        <v>64</v>
      </c>
      <c r="H308">
        <v>88</v>
      </c>
      <c r="I308">
        <v>108</v>
      </c>
      <c r="J308">
        <v>6.2</v>
      </c>
      <c r="K308" t="s">
        <v>79</v>
      </c>
      <c r="L308" t="s">
        <v>31</v>
      </c>
      <c r="M308" t="s">
        <v>60</v>
      </c>
      <c r="N308" t="s">
        <v>24</v>
      </c>
      <c r="O308" t="s">
        <v>41</v>
      </c>
      <c r="P308" t="s">
        <v>26</v>
      </c>
      <c r="Q308">
        <v>699</v>
      </c>
      <c r="R308">
        <v>617</v>
      </c>
    </row>
    <row r="309" spans="1:18">
      <c r="A309" t="s">
        <v>384</v>
      </c>
      <c r="B309" t="s">
        <v>89</v>
      </c>
      <c r="C309" t="s">
        <v>115</v>
      </c>
      <c r="D309" s="8">
        <v>2020</v>
      </c>
      <c r="E309" s="29">
        <v>6</v>
      </c>
      <c r="F309">
        <v>6</v>
      </c>
      <c r="G309">
        <v>64</v>
      </c>
      <c r="H309">
        <v>83</v>
      </c>
      <c r="I309">
        <v>64</v>
      </c>
      <c r="J309">
        <v>6.1</v>
      </c>
      <c r="K309" t="s">
        <v>116</v>
      </c>
      <c r="L309" t="s">
        <v>22</v>
      </c>
      <c r="M309" t="s">
        <v>23</v>
      </c>
      <c r="N309" t="s">
        <v>24</v>
      </c>
      <c r="O309" t="s">
        <v>84</v>
      </c>
      <c r="P309" t="s">
        <v>26</v>
      </c>
      <c r="Q309">
        <v>999</v>
      </c>
      <c r="R309">
        <v>663</v>
      </c>
    </row>
    <row r="310" spans="1:18">
      <c r="A310" t="s">
        <v>385</v>
      </c>
      <c r="B310" t="s">
        <v>89</v>
      </c>
      <c r="C310" t="s">
        <v>90</v>
      </c>
      <c r="D310" s="8">
        <v>2022</v>
      </c>
      <c r="E310" s="29">
        <v>4</v>
      </c>
      <c r="F310">
        <v>12</v>
      </c>
      <c r="G310">
        <v>128</v>
      </c>
      <c r="H310">
        <v>88</v>
      </c>
      <c r="I310">
        <v>48</v>
      </c>
      <c r="J310">
        <v>6.78</v>
      </c>
      <c r="K310" t="s">
        <v>91</v>
      </c>
      <c r="L310" t="s">
        <v>22</v>
      </c>
      <c r="M310" t="s">
        <v>32</v>
      </c>
      <c r="N310" t="s">
        <v>24</v>
      </c>
      <c r="O310" t="s">
        <v>34</v>
      </c>
      <c r="P310" t="s">
        <v>26</v>
      </c>
      <c r="Q310">
        <v>449</v>
      </c>
      <c r="R310">
        <v>348</v>
      </c>
    </row>
    <row r="311" spans="1:18">
      <c r="A311" t="s">
        <v>386</v>
      </c>
      <c r="B311" t="s">
        <v>54</v>
      </c>
      <c r="C311" t="s">
        <v>55</v>
      </c>
      <c r="D311" s="8">
        <v>2024</v>
      </c>
      <c r="E311" s="29">
        <v>2</v>
      </c>
      <c r="F311">
        <v>4</v>
      </c>
      <c r="G311">
        <v>128</v>
      </c>
      <c r="H311">
        <v>93</v>
      </c>
      <c r="I311">
        <v>48</v>
      </c>
      <c r="J311">
        <v>6.7</v>
      </c>
      <c r="K311" t="s">
        <v>56</v>
      </c>
      <c r="L311" t="s">
        <v>57</v>
      </c>
      <c r="M311" t="s">
        <v>86</v>
      </c>
      <c r="N311" t="s">
        <v>33</v>
      </c>
      <c r="O311" t="s">
        <v>84</v>
      </c>
      <c r="P311" t="s">
        <v>26</v>
      </c>
      <c r="Q311">
        <v>549</v>
      </c>
      <c r="R311">
        <v>297</v>
      </c>
    </row>
    <row r="312" spans="1:18">
      <c r="A312" t="s">
        <v>387</v>
      </c>
      <c r="B312" t="s">
        <v>19</v>
      </c>
      <c r="C312" t="s">
        <v>20</v>
      </c>
      <c r="D312" s="8">
        <v>2021</v>
      </c>
      <c r="E312" s="29">
        <v>5</v>
      </c>
      <c r="F312">
        <v>8</v>
      </c>
      <c r="G312">
        <v>64</v>
      </c>
      <c r="H312">
        <v>83</v>
      </c>
      <c r="I312">
        <v>108</v>
      </c>
      <c r="J312">
        <v>6.7</v>
      </c>
      <c r="K312" t="s">
        <v>21</v>
      </c>
      <c r="L312" t="s">
        <v>22</v>
      </c>
      <c r="M312" t="s">
        <v>40</v>
      </c>
      <c r="N312" t="s">
        <v>24</v>
      </c>
      <c r="O312" t="s">
        <v>34</v>
      </c>
      <c r="P312" t="s">
        <v>26</v>
      </c>
      <c r="Q312">
        <v>599</v>
      </c>
      <c r="R312">
        <v>404</v>
      </c>
    </row>
    <row r="313" spans="1:18">
      <c r="A313" t="s">
        <v>388</v>
      </c>
      <c r="B313" t="s">
        <v>64</v>
      </c>
      <c r="C313" t="s">
        <v>65</v>
      </c>
      <c r="D313" s="8">
        <v>2023</v>
      </c>
      <c r="E313" s="29">
        <v>3</v>
      </c>
      <c r="F313">
        <v>6</v>
      </c>
      <c r="G313">
        <v>128</v>
      </c>
      <c r="H313">
        <v>93</v>
      </c>
      <c r="I313">
        <v>108</v>
      </c>
      <c r="J313">
        <v>6.1</v>
      </c>
      <c r="K313" t="s">
        <v>66</v>
      </c>
      <c r="L313" t="s">
        <v>59</v>
      </c>
      <c r="M313" t="s">
        <v>32</v>
      </c>
      <c r="N313" t="s">
        <v>33</v>
      </c>
      <c r="O313" t="s">
        <v>61</v>
      </c>
      <c r="P313" t="s">
        <v>26</v>
      </c>
      <c r="Q313">
        <v>499</v>
      </c>
      <c r="R313">
        <v>409</v>
      </c>
    </row>
    <row r="314" spans="1:18">
      <c r="A314" t="s">
        <v>389</v>
      </c>
      <c r="B314" t="s">
        <v>89</v>
      </c>
      <c r="C314" t="s">
        <v>115</v>
      </c>
      <c r="D314" s="8">
        <v>2021</v>
      </c>
      <c r="E314" s="29">
        <v>5</v>
      </c>
      <c r="F314">
        <v>12</v>
      </c>
      <c r="G314">
        <v>256</v>
      </c>
      <c r="H314">
        <v>96</v>
      </c>
      <c r="I314">
        <v>64</v>
      </c>
      <c r="J314">
        <v>6.78</v>
      </c>
      <c r="K314" t="s">
        <v>116</v>
      </c>
      <c r="L314" t="s">
        <v>22</v>
      </c>
      <c r="M314" t="s">
        <v>40</v>
      </c>
      <c r="N314" t="s">
        <v>33</v>
      </c>
      <c r="O314" t="s">
        <v>84</v>
      </c>
      <c r="P314" t="s">
        <v>35</v>
      </c>
      <c r="Q314">
        <v>999</v>
      </c>
      <c r="R314">
        <v>720</v>
      </c>
    </row>
    <row r="315" spans="1:18">
      <c r="A315" t="s">
        <v>390</v>
      </c>
      <c r="B315" t="s">
        <v>89</v>
      </c>
      <c r="C315" t="s">
        <v>115</v>
      </c>
      <c r="D315" s="8">
        <v>2024</v>
      </c>
      <c r="E315" s="29">
        <v>2</v>
      </c>
      <c r="F315">
        <v>12</v>
      </c>
      <c r="G315">
        <v>512</v>
      </c>
      <c r="H315">
        <v>84</v>
      </c>
      <c r="I315">
        <v>12</v>
      </c>
      <c r="J315">
        <v>6.78</v>
      </c>
      <c r="K315" t="s">
        <v>116</v>
      </c>
      <c r="L315" t="s">
        <v>59</v>
      </c>
      <c r="M315" t="s">
        <v>60</v>
      </c>
      <c r="N315" t="s">
        <v>24</v>
      </c>
      <c r="O315" t="s">
        <v>84</v>
      </c>
      <c r="P315" t="s">
        <v>35</v>
      </c>
      <c r="Q315">
        <v>999</v>
      </c>
      <c r="R315">
        <v>868</v>
      </c>
    </row>
    <row r="316" spans="1:18">
      <c r="A316" t="s">
        <v>391</v>
      </c>
      <c r="B316" t="s">
        <v>68</v>
      </c>
      <c r="C316" t="s">
        <v>69</v>
      </c>
      <c r="D316" s="8">
        <v>2023</v>
      </c>
      <c r="E316" s="29">
        <v>3</v>
      </c>
      <c r="F316">
        <v>4</v>
      </c>
      <c r="G316">
        <v>128</v>
      </c>
      <c r="H316">
        <v>86</v>
      </c>
      <c r="I316">
        <v>12</v>
      </c>
      <c r="J316">
        <v>6.5</v>
      </c>
      <c r="K316" t="s">
        <v>70</v>
      </c>
      <c r="L316" t="s">
        <v>59</v>
      </c>
      <c r="M316" t="s">
        <v>23</v>
      </c>
      <c r="N316" t="s">
        <v>33</v>
      </c>
      <c r="O316" t="s">
        <v>87</v>
      </c>
      <c r="P316" t="s">
        <v>35</v>
      </c>
      <c r="Q316">
        <v>399</v>
      </c>
      <c r="R316">
        <v>357</v>
      </c>
    </row>
    <row r="317" spans="1:18">
      <c r="A317" t="s">
        <v>392</v>
      </c>
      <c r="B317" t="s">
        <v>73</v>
      </c>
      <c r="C317" t="s">
        <v>105</v>
      </c>
      <c r="D317" s="8">
        <v>2024</v>
      </c>
      <c r="E317" s="29">
        <v>2</v>
      </c>
      <c r="F317">
        <v>4</v>
      </c>
      <c r="G317">
        <v>64</v>
      </c>
      <c r="H317">
        <v>80</v>
      </c>
      <c r="I317">
        <v>48</v>
      </c>
      <c r="J317">
        <v>6.1</v>
      </c>
      <c r="K317" t="s">
        <v>75</v>
      </c>
      <c r="L317" t="s">
        <v>57</v>
      </c>
      <c r="M317" t="s">
        <v>47</v>
      </c>
      <c r="N317" t="s">
        <v>33</v>
      </c>
      <c r="O317" t="s">
        <v>87</v>
      </c>
      <c r="P317" t="s">
        <v>35</v>
      </c>
      <c r="Q317">
        <v>899</v>
      </c>
      <c r="R317">
        <v>460</v>
      </c>
    </row>
    <row r="318" spans="1:18">
      <c r="A318" t="s">
        <v>393</v>
      </c>
      <c r="B318" t="s">
        <v>89</v>
      </c>
      <c r="C318" t="s">
        <v>115</v>
      </c>
      <c r="D318" s="8">
        <v>2020</v>
      </c>
      <c r="E318" s="29">
        <v>6</v>
      </c>
      <c r="F318">
        <v>12</v>
      </c>
      <c r="G318">
        <v>64</v>
      </c>
      <c r="H318">
        <v>93</v>
      </c>
      <c r="I318">
        <v>12</v>
      </c>
      <c r="J318">
        <v>6.5</v>
      </c>
      <c r="K318" t="s">
        <v>116</v>
      </c>
      <c r="L318" t="s">
        <v>31</v>
      </c>
      <c r="M318" t="s">
        <v>32</v>
      </c>
      <c r="N318" t="s">
        <v>33</v>
      </c>
      <c r="O318" t="s">
        <v>41</v>
      </c>
      <c r="P318" t="s">
        <v>26</v>
      </c>
      <c r="Q318">
        <v>999</v>
      </c>
      <c r="R318">
        <v>916</v>
      </c>
    </row>
    <row r="319" spans="1:18">
      <c r="A319" t="s">
        <v>394</v>
      </c>
      <c r="B319" t="s">
        <v>77</v>
      </c>
      <c r="C319" t="s">
        <v>78</v>
      </c>
      <c r="D319" s="8">
        <v>2021</v>
      </c>
      <c r="E319" s="29">
        <v>5</v>
      </c>
      <c r="F319">
        <v>12</v>
      </c>
      <c r="G319">
        <v>512</v>
      </c>
      <c r="H319">
        <v>92</v>
      </c>
      <c r="I319">
        <v>64</v>
      </c>
      <c r="J319">
        <v>6.4</v>
      </c>
      <c r="K319" t="s">
        <v>79</v>
      </c>
      <c r="L319" t="s">
        <v>59</v>
      </c>
      <c r="M319" t="s">
        <v>47</v>
      </c>
      <c r="N319" t="s">
        <v>24</v>
      </c>
      <c r="O319" t="s">
        <v>61</v>
      </c>
      <c r="P319" t="s">
        <v>26</v>
      </c>
      <c r="Q319">
        <v>699</v>
      </c>
      <c r="R319">
        <v>665</v>
      </c>
    </row>
    <row r="320" spans="1:18">
      <c r="A320" t="s">
        <v>395</v>
      </c>
      <c r="B320" t="s">
        <v>37</v>
      </c>
      <c r="C320" t="s">
        <v>38</v>
      </c>
      <c r="D320" s="8">
        <v>2024</v>
      </c>
      <c r="E320" s="29">
        <v>2</v>
      </c>
      <c r="F320">
        <v>6</v>
      </c>
      <c r="G320">
        <v>512</v>
      </c>
      <c r="H320">
        <v>94</v>
      </c>
      <c r="I320">
        <v>50</v>
      </c>
      <c r="J320">
        <v>6.67</v>
      </c>
      <c r="K320" t="s">
        <v>39</v>
      </c>
      <c r="L320" t="s">
        <v>22</v>
      </c>
      <c r="M320" t="s">
        <v>40</v>
      </c>
      <c r="N320" t="s">
        <v>33</v>
      </c>
      <c r="O320" t="s">
        <v>52</v>
      </c>
      <c r="P320" t="s">
        <v>26</v>
      </c>
      <c r="Q320">
        <v>599</v>
      </c>
      <c r="R320">
        <v>476</v>
      </c>
    </row>
    <row r="321" spans="1:18">
      <c r="A321" t="s">
        <v>396</v>
      </c>
      <c r="B321" t="s">
        <v>89</v>
      </c>
      <c r="C321" t="s">
        <v>90</v>
      </c>
      <c r="D321" s="8">
        <v>2021</v>
      </c>
      <c r="E321" s="29">
        <v>5</v>
      </c>
      <c r="F321">
        <v>12</v>
      </c>
      <c r="G321">
        <v>256</v>
      </c>
      <c r="H321">
        <v>100</v>
      </c>
      <c r="I321">
        <v>12</v>
      </c>
      <c r="J321">
        <v>6.7</v>
      </c>
      <c r="K321" t="s">
        <v>91</v>
      </c>
      <c r="L321" t="s">
        <v>31</v>
      </c>
      <c r="M321" t="s">
        <v>23</v>
      </c>
      <c r="N321" t="s">
        <v>24</v>
      </c>
      <c r="O321" t="s">
        <v>84</v>
      </c>
      <c r="P321" t="s">
        <v>26</v>
      </c>
      <c r="Q321">
        <v>449</v>
      </c>
      <c r="R321">
        <v>439</v>
      </c>
    </row>
    <row r="322" spans="1:18">
      <c r="A322" t="s">
        <v>397</v>
      </c>
      <c r="B322" t="s">
        <v>44</v>
      </c>
      <c r="C322" t="s">
        <v>45</v>
      </c>
      <c r="D322" s="8">
        <v>2021</v>
      </c>
      <c r="E322" s="29">
        <v>5</v>
      </c>
      <c r="F322">
        <v>8</v>
      </c>
      <c r="G322">
        <v>128</v>
      </c>
      <c r="H322">
        <v>87</v>
      </c>
      <c r="I322">
        <v>108</v>
      </c>
      <c r="J322">
        <v>6.7</v>
      </c>
      <c r="K322" t="s">
        <v>46</v>
      </c>
      <c r="L322" t="s">
        <v>22</v>
      </c>
      <c r="M322" t="s">
        <v>86</v>
      </c>
      <c r="N322" t="s">
        <v>33</v>
      </c>
      <c r="O322" t="s">
        <v>52</v>
      </c>
      <c r="P322" t="s">
        <v>35</v>
      </c>
      <c r="Q322">
        <v>799</v>
      </c>
      <c r="R322">
        <v>531</v>
      </c>
    </row>
    <row r="323" spans="1:18">
      <c r="A323" t="s">
        <v>398</v>
      </c>
      <c r="B323" t="s">
        <v>89</v>
      </c>
      <c r="C323" t="s">
        <v>90</v>
      </c>
      <c r="D323" s="8">
        <v>2024</v>
      </c>
      <c r="E323" s="29">
        <v>2</v>
      </c>
      <c r="F323">
        <v>6</v>
      </c>
      <c r="G323">
        <v>256</v>
      </c>
      <c r="H323">
        <v>81</v>
      </c>
      <c r="I323">
        <v>48</v>
      </c>
      <c r="J323">
        <v>6.5</v>
      </c>
      <c r="K323" t="s">
        <v>91</v>
      </c>
      <c r="L323" t="s">
        <v>57</v>
      </c>
      <c r="M323" t="s">
        <v>40</v>
      </c>
      <c r="N323" t="s">
        <v>33</v>
      </c>
      <c r="O323" t="s">
        <v>52</v>
      </c>
      <c r="P323" t="s">
        <v>26</v>
      </c>
      <c r="Q323">
        <v>449</v>
      </c>
      <c r="R323">
        <v>267</v>
      </c>
    </row>
    <row r="324" spans="1:18">
      <c r="A324" t="s">
        <v>399</v>
      </c>
      <c r="B324" t="s">
        <v>19</v>
      </c>
      <c r="C324" t="s">
        <v>20</v>
      </c>
      <c r="D324" s="8">
        <v>2022</v>
      </c>
      <c r="E324" s="29">
        <v>4</v>
      </c>
      <c r="F324">
        <v>4</v>
      </c>
      <c r="G324">
        <v>64</v>
      </c>
      <c r="H324">
        <v>88</v>
      </c>
      <c r="I324">
        <v>64</v>
      </c>
      <c r="J324">
        <v>6.78</v>
      </c>
      <c r="K324" t="s">
        <v>21</v>
      </c>
      <c r="L324" t="s">
        <v>22</v>
      </c>
      <c r="M324" t="s">
        <v>32</v>
      </c>
      <c r="N324" t="s">
        <v>24</v>
      </c>
      <c r="O324" t="s">
        <v>84</v>
      </c>
      <c r="P324" t="s">
        <v>35</v>
      </c>
      <c r="Q324">
        <v>599</v>
      </c>
      <c r="R324">
        <v>412</v>
      </c>
    </row>
    <row r="325" spans="1:18">
      <c r="A325" t="s">
        <v>400</v>
      </c>
      <c r="B325" t="s">
        <v>68</v>
      </c>
      <c r="C325" t="s">
        <v>81</v>
      </c>
      <c r="D325" s="8">
        <v>2023</v>
      </c>
      <c r="E325" s="29">
        <v>3</v>
      </c>
      <c r="F325">
        <v>8</v>
      </c>
      <c r="G325">
        <v>128</v>
      </c>
      <c r="H325">
        <v>98</v>
      </c>
      <c r="I325">
        <v>108</v>
      </c>
      <c r="J325">
        <v>6.4</v>
      </c>
      <c r="K325" t="s">
        <v>82</v>
      </c>
      <c r="L325" t="s">
        <v>22</v>
      </c>
      <c r="M325" t="s">
        <v>47</v>
      </c>
      <c r="N325" t="s">
        <v>33</v>
      </c>
      <c r="O325" t="s">
        <v>48</v>
      </c>
      <c r="P325" t="s">
        <v>35</v>
      </c>
      <c r="Q325">
        <v>299</v>
      </c>
      <c r="R325">
        <v>263</v>
      </c>
    </row>
    <row r="326" spans="1:18">
      <c r="A326" t="s">
        <v>401</v>
      </c>
      <c r="B326" t="s">
        <v>89</v>
      </c>
      <c r="C326" t="s">
        <v>115</v>
      </c>
      <c r="D326" s="8">
        <v>2023</v>
      </c>
      <c r="E326" s="29">
        <v>3</v>
      </c>
      <c r="F326">
        <v>8</v>
      </c>
      <c r="G326">
        <v>128</v>
      </c>
      <c r="H326">
        <v>87</v>
      </c>
      <c r="I326">
        <v>48</v>
      </c>
      <c r="J326">
        <v>6.1</v>
      </c>
      <c r="K326" t="s">
        <v>116</v>
      </c>
      <c r="L326" t="s">
        <v>59</v>
      </c>
      <c r="M326" t="s">
        <v>60</v>
      </c>
      <c r="N326" t="s">
        <v>24</v>
      </c>
      <c r="O326" t="s">
        <v>61</v>
      </c>
      <c r="P326" t="s">
        <v>26</v>
      </c>
      <c r="Q326">
        <v>999</v>
      </c>
      <c r="R326">
        <v>788</v>
      </c>
    </row>
    <row r="327" spans="1:18">
      <c r="A327" t="s">
        <v>402</v>
      </c>
      <c r="B327" t="s">
        <v>37</v>
      </c>
      <c r="C327" t="s">
        <v>38</v>
      </c>
      <c r="D327" s="8">
        <v>2023</v>
      </c>
      <c r="E327" s="29">
        <v>3</v>
      </c>
      <c r="F327">
        <v>4</v>
      </c>
      <c r="G327">
        <v>512</v>
      </c>
      <c r="H327">
        <v>76</v>
      </c>
      <c r="I327">
        <v>50</v>
      </c>
      <c r="J327">
        <v>6.67</v>
      </c>
      <c r="K327" t="s">
        <v>39</v>
      </c>
      <c r="L327" t="s">
        <v>59</v>
      </c>
      <c r="M327" t="s">
        <v>32</v>
      </c>
      <c r="N327" t="s">
        <v>33</v>
      </c>
      <c r="O327" t="s">
        <v>87</v>
      </c>
      <c r="P327" t="s">
        <v>26</v>
      </c>
      <c r="Q327">
        <v>599</v>
      </c>
      <c r="R327">
        <v>568</v>
      </c>
    </row>
    <row r="328" spans="1:18">
      <c r="A328" t="s">
        <v>403</v>
      </c>
      <c r="B328" t="s">
        <v>28</v>
      </c>
      <c r="C328" t="s">
        <v>29</v>
      </c>
      <c r="D328" s="8">
        <v>2023</v>
      </c>
      <c r="E328" s="29">
        <v>3</v>
      </c>
      <c r="F328">
        <v>8</v>
      </c>
      <c r="G328">
        <v>512</v>
      </c>
      <c r="H328">
        <v>82</v>
      </c>
      <c r="I328">
        <v>12</v>
      </c>
      <c r="J328">
        <v>6.67</v>
      </c>
      <c r="K328" t="s">
        <v>30</v>
      </c>
      <c r="L328" t="s">
        <v>31</v>
      </c>
      <c r="M328" t="s">
        <v>47</v>
      </c>
      <c r="N328" t="s">
        <v>33</v>
      </c>
      <c r="O328" t="s">
        <v>48</v>
      </c>
      <c r="P328" t="s">
        <v>35</v>
      </c>
      <c r="Q328">
        <v>599</v>
      </c>
      <c r="R328">
        <v>589</v>
      </c>
    </row>
    <row r="329" spans="1:18">
      <c r="A329" t="s">
        <v>404</v>
      </c>
      <c r="B329" t="s">
        <v>68</v>
      </c>
      <c r="C329" t="s">
        <v>69</v>
      </c>
      <c r="D329" s="8">
        <v>2022</v>
      </c>
      <c r="E329" s="29">
        <v>4</v>
      </c>
      <c r="F329">
        <v>12</v>
      </c>
      <c r="G329">
        <v>512</v>
      </c>
      <c r="H329">
        <v>93</v>
      </c>
      <c r="I329">
        <v>108</v>
      </c>
      <c r="J329">
        <v>6.5</v>
      </c>
      <c r="K329" t="s">
        <v>70</v>
      </c>
      <c r="L329" t="s">
        <v>31</v>
      </c>
      <c r="M329" t="s">
        <v>40</v>
      </c>
      <c r="N329" t="s">
        <v>33</v>
      </c>
      <c r="O329" t="s">
        <v>34</v>
      </c>
      <c r="P329" t="s">
        <v>26</v>
      </c>
      <c r="Q329">
        <v>399</v>
      </c>
      <c r="R329">
        <v>389</v>
      </c>
    </row>
    <row r="330" spans="1:18">
      <c r="A330" t="s">
        <v>405</v>
      </c>
      <c r="B330" t="s">
        <v>68</v>
      </c>
      <c r="C330" t="s">
        <v>69</v>
      </c>
      <c r="D330" s="8">
        <v>2024</v>
      </c>
      <c r="E330" s="29">
        <v>2</v>
      </c>
      <c r="F330">
        <v>8</v>
      </c>
      <c r="G330">
        <v>256</v>
      </c>
      <c r="H330">
        <v>98</v>
      </c>
      <c r="I330">
        <v>12</v>
      </c>
      <c r="J330">
        <v>6.78</v>
      </c>
      <c r="K330" t="s">
        <v>70</v>
      </c>
      <c r="L330" t="s">
        <v>22</v>
      </c>
      <c r="M330" t="s">
        <v>23</v>
      </c>
      <c r="N330" t="s">
        <v>33</v>
      </c>
      <c r="O330" t="s">
        <v>25</v>
      </c>
      <c r="P330" t="s">
        <v>26</v>
      </c>
      <c r="Q330">
        <v>399</v>
      </c>
      <c r="R330">
        <v>362</v>
      </c>
    </row>
    <row r="331" spans="1:18">
      <c r="A331" t="s">
        <v>406</v>
      </c>
      <c r="B331" t="s">
        <v>37</v>
      </c>
      <c r="C331" t="s">
        <v>38</v>
      </c>
      <c r="D331" s="8">
        <v>2023</v>
      </c>
      <c r="E331" s="29">
        <v>3</v>
      </c>
      <c r="F331">
        <v>6</v>
      </c>
      <c r="G331">
        <v>64</v>
      </c>
      <c r="H331">
        <v>95</v>
      </c>
      <c r="I331">
        <v>12</v>
      </c>
      <c r="J331">
        <v>6.7</v>
      </c>
      <c r="K331" t="s">
        <v>39</v>
      </c>
      <c r="L331" t="s">
        <v>57</v>
      </c>
      <c r="M331" t="s">
        <v>32</v>
      </c>
      <c r="N331" t="s">
        <v>33</v>
      </c>
      <c r="O331" t="s">
        <v>52</v>
      </c>
      <c r="P331" t="s">
        <v>35</v>
      </c>
      <c r="Q331">
        <v>599</v>
      </c>
      <c r="R331">
        <v>327</v>
      </c>
    </row>
    <row r="332" spans="1:18">
      <c r="A332" t="s">
        <v>407</v>
      </c>
      <c r="B332" t="s">
        <v>89</v>
      </c>
      <c r="C332" t="s">
        <v>115</v>
      </c>
      <c r="D332" s="8">
        <v>2023</v>
      </c>
      <c r="E332" s="29">
        <v>3</v>
      </c>
      <c r="F332">
        <v>4</v>
      </c>
      <c r="G332">
        <v>256</v>
      </c>
      <c r="H332">
        <v>78</v>
      </c>
      <c r="I332">
        <v>108</v>
      </c>
      <c r="J332">
        <v>6.7</v>
      </c>
      <c r="K332" t="s">
        <v>116</v>
      </c>
      <c r="L332" t="s">
        <v>57</v>
      </c>
      <c r="M332" t="s">
        <v>47</v>
      </c>
      <c r="N332" t="s">
        <v>33</v>
      </c>
      <c r="O332" t="s">
        <v>87</v>
      </c>
      <c r="P332" t="s">
        <v>35</v>
      </c>
      <c r="Q332">
        <v>999</v>
      </c>
      <c r="R332">
        <v>514</v>
      </c>
    </row>
    <row r="333" spans="1:18">
      <c r="A333" t="s">
        <v>408</v>
      </c>
      <c r="B333" t="s">
        <v>77</v>
      </c>
      <c r="C333" t="s">
        <v>78</v>
      </c>
      <c r="D333" s="8">
        <v>2023</v>
      </c>
      <c r="E333" s="29">
        <v>3</v>
      </c>
      <c r="F333">
        <v>4</v>
      </c>
      <c r="G333">
        <v>128</v>
      </c>
      <c r="H333">
        <v>80</v>
      </c>
      <c r="I333">
        <v>12</v>
      </c>
      <c r="J333">
        <v>6.1</v>
      </c>
      <c r="K333" t="s">
        <v>79</v>
      </c>
      <c r="L333" t="s">
        <v>22</v>
      </c>
      <c r="M333" t="s">
        <v>32</v>
      </c>
      <c r="N333" t="s">
        <v>24</v>
      </c>
      <c r="O333" t="s">
        <v>25</v>
      </c>
      <c r="P333" t="s">
        <v>26</v>
      </c>
      <c r="Q333">
        <v>699</v>
      </c>
      <c r="R333">
        <v>455</v>
      </c>
    </row>
    <row r="334" spans="1:18">
      <c r="A334" t="s">
        <v>409</v>
      </c>
      <c r="B334" t="s">
        <v>89</v>
      </c>
      <c r="C334" t="s">
        <v>90</v>
      </c>
      <c r="D334" s="8">
        <v>2022</v>
      </c>
      <c r="E334" s="29">
        <v>4</v>
      </c>
      <c r="F334">
        <v>12</v>
      </c>
      <c r="G334">
        <v>64</v>
      </c>
      <c r="H334">
        <v>81</v>
      </c>
      <c r="I334">
        <v>50</v>
      </c>
      <c r="J334">
        <v>6.1</v>
      </c>
      <c r="K334" t="s">
        <v>91</v>
      </c>
      <c r="L334" t="s">
        <v>59</v>
      </c>
      <c r="M334" t="s">
        <v>60</v>
      </c>
      <c r="N334" t="s">
        <v>24</v>
      </c>
      <c r="O334" t="s">
        <v>41</v>
      </c>
      <c r="P334" t="s">
        <v>26</v>
      </c>
      <c r="Q334">
        <v>449</v>
      </c>
      <c r="R334">
        <v>391</v>
      </c>
    </row>
    <row r="335" spans="1:18">
      <c r="A335" t="s">
        <v>410</v>
      </c>
      <c r="B335" t="s">
        <v>68</v>
      </c>
      <c r="C335" t="s">
        <v>69</v>
      </c>
      <c r="D335" s="8">
        <v>2021</v>
      </c>
      <c r="E335" s="29">
        <v>5</v>
      </c>
      <c r="F335">
        <v>6</v>
      </c>
      <c r="G335">
        <v>128</v>
      </c>
      <c r="H335">
        <v>75</v>
      </c>
      <c r="I335">
        <v>108</v>
      </c>
      <c r="J335">
        <v>6.67</v>
      </c>
      <c r="K335" t="s">
        <v>70</v>
      </c>
      <c r="L335" t="s">
        <v>22</v>
      </c>
      <c r="M335" t="s">
        <v>47</v>
      </c>
      <c r="N335" t="s">
        <v>24</v>
      </c>
      <c r="O335" t="s">
        <v>52</v>
      </c>
      <c r="P335" t="s">
        <v>26</v>
      </c>
      <c r="Q335">
        <v>399</v>
      </c>
      <c r="R335">
        <v>292</v>
      </c>
    </row>
    <row r="336" spans="1:18">
      <c r="A336" t="s">
        <v>411</v>
      </c>
      <c r="B336" t="s">
        <v>73</v>
      </c>
      <c r="C336" t="s">
        <v>74</v>
      </c>
      <c r="D336" s="8">
        <v>2020</v>
      </c>
      <c r="E336" s="29">
        <v>6</v>
      </c>
      <c r="F336">
        <v>12</v>
      </c>
      <c r="G336">
        <v>256</v>
      </c>
      <c r="H336">
        <v>80</v>
      </c>
      <c r="I336">
        <v>12</v>
      </c>
      <c r="J336">
        <v>6.4</v>
      </c>
      <c r="K336" t="s">
        <v>75</v>
      </c>
      <c r="L336" t="s">
        <v>59</v>
      </c>
      <c r="M336" t="s">
        <v>23</v>
      </c>
      <c r="N336" t="s">
        <v>33</v>
      </c>
      <c r="O336" t="s">
        <v>52</v>
      </c>
      <c r="P336" t="s">
        <v>26</v>
      </c>
      <c r="Q336">
        <v>799</v>
      </c>
      <c r="R336">
        <v>701</v>
      </c>
    </row>
    <row r="337" spans="1:18">
      <c r="A337" t="s">
        <v>412</v>
      </c>
      <c r="B337" t="s">
        <v>89</v>
      </c>
      <c r="C337" t="s">
        <v>115</v>
      </c>
      <c r="D337" s="8">
        <v>2024</v>
      </c>
      <c r="E337" s="29">
        <v>2</v>
      </c>
      <c r="F337">
        <v>6</v>
      </c>
      <c r="G337">
        <v>512</v>
      </c>
      <c r="H337">
        <v>81</v>
      </c>
      <c r="I337">
        <v>12</v>
      </c>
      <c r="J337">
        <v>6.2</v>
      </c>
      <c r="K337" t="s">
        <v>116</v>
      </c>
      <c r="L337" t="s">
        <v>22</v>
      </c>
      <c r="M337" t="s">
        <v>32</v>
      </c>
      <c r="N337" t="s">
        <v>24</v>
      </c>
      <c r="O337" t="s">
        <v>61</v>
      </c>
      <c r="P337" t="s">
        <v>26</v>
      </c>
      <c r="Q337">
        <v>999</v>
      </c>
      <c r="R337">
        <v>751</v>
      </c>
    </row>
    <row r="338" spans="1:18">
      <c r="A338" t="s">
        <v>413</v>
      </c>
      <c r="B338" t="s">
        <v>19</v>
      </c>
      <c r="C338" t="s">
        <v>20</v>
      </c>
      <c r="D338" s="8">
        <v>2023</v>
      </c>
      <c r="E338" s="29">
        <v>3</v>
      </c>
      <c r="F338">
        <v>4</v>
      </c>
      <c r="G338">
        <v>64</v>
      </c>
      <c r="H338">
        <v>89</v>
      </c>
      <c r="I338">
        <v>48</v>
      </c>
      <c r="J338">
        <v>6.7</v>
      </c>
      <c r="K338" t="s">
        <v>21</v>
      </c>
      <c r="L338" t="s">
        <v>59</v>
      </c>
      <c r="M338" t="s">
        <v>32</v>
      </c>
      <c r="N338" t="s">
        <v>33</v>
      </c>
      <c r="O338" t="s">
        <v>84</v>
      </c>
      <c r="P338" t="s">
        <v>26</v>
      </c>
      <c r="Q338">
        <v>599</v>
      </c>
      <c r="R338">
        <v>479</v>
      </c>
    </row>
    <row r="339" spans="1:18">
      <c r="A339" t="s">
        <v>414</v>
      </c>
      <c r="B339" t="s">
        <v>28</v>
      </c>
      <c r="C339" t="s">
        <v>29</v>
      </c>
      <c r="D339" s="8">
        <v>2024</v>
      </c>
      <c r="E339" s="29">
        <v>2</v>
      </c>
      <c r="F339">
        <v>4</v>
      </c>
      <c r="G339">
        <v>256</v>
      </c>
      <c r="H339">
        <v>100</v>
      </c>
      <c r="I339">
        <v>64</v>
      </c>
      <c r="J339">
        <v>6.78</v>
      </c>
      <c r="K339" t="s">
        <v>30</v>
      </c>
      <c r="L339" t="s">
        <v>59</v>
      </c>
      <c r="M339" t="s">
        <v>86</v>
      </c>
      <c r="N339" t="s">
        <v>33</v>
      </c>
      <c r="O339" t="s">
        <v>34</v>
      </c>
      <c r="P339" t="s">
        <v>26</v>
      </c>
      <c r="Q339">
        <v>599</v>
      </c>
      <c r="R339">
        <v>537</v>
      </c>
    </row>
    <row r="340" spans="1:18">
      <c r="A340" t="s">
        <v>415</v>
      </c>
      <c r="B340" t="s">
        <v>28</v>
      </c>
      <c r="C340" t="s">
        <v>29</v>
      </c>
      <c r="D340" s="8">
        <v>2022</v>
      </c>
      <c r="E340" s="29">
        <v>4</v>
      </c>
      <c r="F340">
        <v>8</v>
      </c>
      <c r="G340">
        <v>256</v>
      </c>
      <c r="H340">
        <v>88</v>
      </c>
      <c r="I340">
        <v>50</v>
      </c>
      <c r="J340">
        <v>6.2</v>
      </c>
      <c r="K340" t="s">
        <v>30</v>
      </c>
      <c r="L340" t="s">
        <v>59</v>
      </c>
      <c r="M340" t="s">
        <v>47</v>
      </c>
      <c r="N340" t="s">
        <v>33</v>
      </c>
      <c r="O340" t="s">
        <v>48</v>
      </c>
      <c r="P340" t="s">
        <v>26</v>
      </c>
      <c r="Q340">
        <v>599</v>
      </c>
      <c r="R340">
        <v>558</v>
      </c>
    </row>
    <row r="341" spans="1:18">
      <c r="A341" t="s">
        <v>416</v>
      </c>
      <c r="B341" t="s">
        <v>54</v>
      </c>
      <c r="C341" t="s">
        <v>55</v>
      </c>
      <c r="D341" s="8">
        <v>2021</v>
      </c>
      <c r="E341" s="29">
        <v>5</v>
      </c>
      <c r="F341">
        <v>12</v>
      </c>
      <c r="G341">
        <v>64</v>
      </c>
      <c r="H341">
        <v>94</v>
      </c>
      <c r="I341">
        <v>12</v>
      </c>
      <c r="J341">
        <v>6.5</v>
      </c>
      <c r="K341" t="s">
        <v>56</v>
      </c>
      <c r="L341" t="s">
        <v>22</v>
      </c>
      <c r="M341" t="s">
        <v>32</v>
      </c>
      <c r="N341" t="s">
        <v>24</v>
      </c>
      <c r="O341" t="s">
        <v>25</v>
      </c>
      <c r="P341" t="s">
        <v>35</v>
      </c>
      <c r="Q341">
        <v>549</v>
      </c>
      <c r="R341">
        <v>385</v>
      </c>
    </row>
    <row r="342" spans="1:18">
      <c r="A342" t="s">
        <v>417</v>
      </c>
      <c r="B342" t="s">
        <v>44</v>
      </c>
      <c r="C342" t="s">
        <v>45</v>
      </c>
      <c r="D342" s="8">
        <v>2021</v>
      </c>
      <c r="E342" s="29">
        <v>5</v>
      </c>
      <c r="F342">
        <v>8</v>
      </c>
      <c r="G342">
        <v>64</v>
      </c>
      <c r="H342">
        <v>91</v>
      </c>
      <c r="I342">
        <v>64</v>
      </c>
      <c r="J342">
        <v>6.5</v>
      </c>
      <c r="K342" t="s">
        <v>46</v>
      </c>
      <c r="L342" t="s">
        <v>22</v>
      </c>
      <c r="M342" t="s">
        <v>32</v>
      </c>
      <c r="N342" t="s">
        <v>24</v>
      </c>
      <c r="O342" t="s">
        <v>48</v>
      </c>
      <c r="P342" t="s">
        <v>35</v>
      </c>
      <c r="Q342">
        <v>799</v>
      </c>
      <c r="R342">
        <v>518</v>
      </c>
    </row>
    <row r="343" spans="1:18">
      <c r="A343" t="s">
        <v>418</v>
      </c>
      <c r="B343" t="s">
        <v>54</v>
      </c>
      <c r="C343" t="s">
        <v>55</v>
      </c>
      <c r="D343" s="8">
        <v>2023</v>
      </c>
      <c r="E343" s="29">
        <v>3</v>
      </c>
      <c r="F343">
        <v>8</v>
      </c>
      <c r="G343">
        <v>128</v>
      </c>
      <c r="H343">
        <v>88</v>
      </c>
      <c r="I343">
        <v>108</v>
      </c>
      <c r="J343">
        <v>6.78</v>
      </c>
      <c r="K343" t="s">
        <v>56</v>
      </c>
      <c r="L343" t="s">
        <v>22</v>
      </c>
      <c r="M343" t="s">
        <v>23</v>
      </c>
      <c r="N343" t="s">
        <v>24</v>
      </c>
      <c r="O343" t="s">
        <v>87</v>
      </c>
      <c r="P343" t="s">
        <v>26</v>
      </c>
      <c r="Q343">
        <v>549</v>
      </c>
      <c r="R343">
        <v>412</v>
      </c>
    </row>
    <row r="344" spans="1:18">
      <c r="A344" t="s">
        <v>419</v>
      </c>
      <c r="B344" t="s">
        <v>73</v>
      </c>
      <c r="C344" t="s">
        <v>105</v>
      </c>
      <c r="D344" s="8">
        <v>2020</v>
      </c>
      <c r="E344" s="29">
        <v>6</v>
      </c>
      <c r="F344">
        <v>6</v>
      </c>
      <c r="G344">
        <v>64</v>
      </c>
      <c r="H344">
        <v>98</v>
      </c>
      <c r="I344">
        <v>108</v>
      </c>
      <c r="J344">
        <v>6.67</v>
      </c>
      <c r="K344" t="s">
        <v>75</v>
      </c>
      <c r="L344" t="s">
        <v>22</v>
      </c>
      <c r="M344" t="s">
        <v>60</v>
      </c>
      <c r="N344" t="s">
        <v>33</v>
      </c>
      <c r="O344" t="s">
        <v>84</v>
      </c>
      <c r="P344" t="s">
        <v>35</v>
      </c>
      <c r="Q344">
        <v>899</v>
      </c>
      <c r="R344">
        <v>624</v>
      </c>
    </row>
    <row r="345" spans="1:18">
      <c r="A345" t="s">
        <v>420</v>
      </c>
      <c r="B345" t="s">
        <v>73</v>
      </c>
      <c r="C345" t="s">
        <v>74</v>
      </c>
      <c r="D345" s="8">
        <v>2022</v>
      </c>
      <c r="E345" s="29">
        <v>4</v>
      </c>
      <c r="F345">
        <v>8</v>
      </c>
      <c r="G345">
        <v>512</v>
      </c>
      <c r="H345">
        <v>93</v>
      </c>
      <c r="I345">
        <v>50</v>
      </c>
      <c r="J345">
        <v>6.67</v>
      </c>
      <c r="K345" t="s">
        <v>75</v>
      </c>
      <c r="L345" t="s">
        <v>31</v>
      </c>
      <c r="M345" t="s">
        <v>40</v>
      </c>
      <c r="N345" t="s">
        <v>24</v>
      </c>
      <c r="O345" t="s">
        <v>61</v>
      </c>
      <c r="P345" t="s">
        <v>26</v>
      </c>
      <c r="Q345">
        <v>799</v>
      </c>
      <c r="R345">
        <v>789</v>
      </c>
    </row>
    <row r="346" spans="1:18">
      <c r="A346" t="s">
        <v>421</v>
      </c>
      <c r="B346" t="s">
        <v>77</v>
      </c>
      <c r="C346" t="s">
        <v>78</v>
      </c>
      <c r="D346" s="8">
        <v>2022</v>
      </c>
      <c r="E346" s="29">
        <v>4</v>
      </c>
      <c r="F346">
        <v>6</v>
      </c>
      <c r="G346">
        <v>128</v>
      </c>
      <c r="H346">
        <v>80</v>
      </c>
      <c r="I346">
        <v>108</v>
      </c>
      <c r="J346">
        <v>6.7</v>
      </c>
      <c r="K346" t="s">
        <v>79</v>
      </c>
      <c r="L346" t="s">
        <v>22</v>
      </c>
      <c r="M346" t="s">
        <v>47</v>
      </c>
      <c r="N346" t="s">
        <v>33</v>
      </c>
      <c r="O346" t="s">
        <v>61</v>
      </c>
      <c r="P346" t="s">
        <v>35</v>
      </c>
      <c r="Q346">
        <v>699</v>
      </c>
      <c r="R346">
        <v>477</v>
      </c>
    </row>
    <row r="347" spans="1:18">
      <c r="A347" t="s">
        <v>422</v>
      </c>
      <c r="B347" t="s">
        <v>44</v>
      </c>
      <c r="C347" t="s">
        <v>45</v>
      </c>
      <c r="D347" s="8">
        <v>2021</v>
      </c>
      <c r="E347" s="29">
        <v>5</v>
      </c>
      <c r="F347">
        <v>8</v>
      </c>
      <c r="G347">
        <v>512</v>
      </c>
      <c r="H347">
        <v>75</v>
      </c>
      <c r="I347">
        <v>48</v>
      </c>
      <c r="J347">
        <v>6.4</v>
      </c>
      <c r="K347" t="s">
        <v>46</v>
      </c>
      <c r="L347" t="s">
        <v>31</v>
      </c>
      <c r="M347" t="s">
        <v>47</v>
      </c>
      <c r="N347" t="s">
        <v>33</v>
      </c>
      <c r="O347" t="s">
        <v>41</v>
      </c>
      <c r="P347" t="s">
        <v>35</v>
      </c>
      <c r="Q347">
        <v>799</v>
      </c>
      <c r="R347">
        <v>789</v>
      </c>
    </row>
    <row r="348" spans="1:18">
      <c r="A348" t="s">
        <v>423</v>
      </c>
      <c r="B348" t="s">
        <v>54</v>
      </c>
      <c r="C348" t="s">
        <v>55</v>
      </c>
      <c r="D348" s="8">
        <v>2023</v>
      </c>
      <c r="E348" s="29">
        <v>3</v>
      </c>
      <c r="F348">
        <v>6</v>
      </c>
      <c r="G348">
        <v>256</v>
      </c>
      <c r="H348">
        <v>84</v>
      </c>
      <c r="I348">
        <v>48</v>
      </c>
      <c r="J348">
        <v>6.2</v>
      </c>
      <c r="K348" t="s">
        <v>56</v>
      </c>
      <c r="L348" t="s">
        <v>59</v>
      </c>
      <c r="M348" t="s">
        <v>23</v>
      </c>
      <c r="N348" t="s">
        <v>33</v>
      </c>
      <c r="O348" t="s">
        <v>34</v>
      </c>
      <c r="P348" t="s">
        <v>26</v>
      </c>
      <c r="Q348">
        <v>549</v>
      </c>
      <c r="R348">
        <v>513</v>
      </c>
    </row>
    <row r="349" spans="1:18">
      <c r="A349" t="s">
        <v>424</v>
      </c>
      <c r="B349" t="s">
        <v>54</v>
      </c>
      <c r="C349" t="s">
        <v>55</v>
      </c>
      <c r="D349" s="8">
        <v>2020</v>
      </c>
      <c r="E349" s="29">
        <v>6</v>
      </c>
      <c r="F349">
        <v>12</v>
      </c>
      <c r="G349">
        <v>128</v>
      </c>
      <c r="H349">
        <v>79</v>
      </c>
      <c r="I349">
        <v>48</v>
      </c>
      <c r="J349">
        <v>6.4</v>
      </c>
      <c r="K349" t="s">
        <v>56</v>
      </c>
      <c r="L349" t="s">
        <v>57</v>
      </c>
      <c r="M349" t="s">
        <v>32</v>
      </c>
      <c r="N349" t="s">
        <v>33</v>
      </c>
      <c r="O349" t="s">
        <v>34</v>
      </c>
      <c r="P349" t="s">
        <v>35</v>
      </c>
      <c r="Q349">
        <v>549</v>
      </c>
      <c r="R349">
        <v>348</v>
      </c>
    </row>
    <row r="350" spans="1:18">
      <c r="A350" t="s">
        <v>425</v>
      </c>
      <c r="B350" t="s">
        <v>77</v>
      </c>
      <c r="C350" t="s">
        <v>78</v>
      </c>
      <c r="D350" s="8">
        <v>2020</v>
      </c>
      <c r="E350" s="29">
        <v>6</v>
      </c>
      <c r="F350">
        <v>4</v>
      </c>
      <c r="G350">
        <v>512</v>
      </c>
      <c r="H350">
        <v>94</v>
      </c>
      <c r="I350">
        <v>50</v>
      </c>
      <c r="J350">
        <v>6.67</v>
      </c>
      <c r="K350" t="s">
        <v>79</v>
      </c>
      <c r="L350" t="s">
        <v>22</v>
      </c>
      <c r="M350" t="s">
        <v>32</v>
      </c>
      <c r="N350" t="s">
        <v>24</v>
      </c>
      <c r="O350" t="s">
        <v>48</v>
      </c>
      <c r="P350" t="s">
        <v>35</v>
      </c>
      <c r="Q350">
        <v>699</v>
      </c>
      <c r="R350">
        <v>563</v>
      </c>
    </row>
    <row r="351" spans="1:18">
      <c r="A351" t="s">
        <v>426</v>
      </c>
      <c r="B351" t="s">
        <v>19</v>
      </c>
      <c r="C351" t="s">
        <v>20</v>
      </c>
      <c r="D351" s="8">
        <v>2024</v>
      </c>
      <c r="E351" s="29">
        <v>2</v>
      </c>
      <c r="F351">
        <v>4</v>
      </c>
      <c r="G351">
        <v>128</v>
      </c>
      <c r="H351">
        <v>79</v>
      </c>
      <c r="I351">
        <v>108</v>
      </c>
      <c r="J351">
        <v>6.78</v>
      </c>
      <c r="K351" t="s">
        <v>21</v>
      </c>
      <c r="L351" t="s">
        <v>59</v>
      </c>
      <c r="M351" t="s">
        <v>32</v>
      </c>
      <c r="N351" t="s">
        <v>24</v>
      </c>
      <c r="O351" t="s">
        <v>87</v>
      </c>
      <c r="P351" t="s">
        <v>35</v>
      </c>
      <c r="Q351">
        <v>599</v>
      </c>
      <c r="R351">
        <v>501</v>
      </c>
    </row>
    <row r="352" spans="1:18">
      <c r="A352" t="s">
        <v>427</v>
      </c>
      <c r="B352" t="s">
        <v>77</v>
      </c>
      <c r="C352" t="s">
        <v>78</v>
      </c>
      <c r="D352" s="8">
        <v>2024</v>
      </c>
      <c r="E352" s="29">
        <v>2</v>
      </c>
      <c r="F352">
        <v>4</v>
      </c>
      <c r="G352">
        <v>512</v>
      </c>
      <c r="H352">
        <v>89</v>
      </c>
      <c r="I352">
        <v>108</v>
      </c>
      <c r="J352">
        <v>6.4</v>
      </c>
      <c r="K352" t="s">
        <v>79</v>
      </c>
      <c r="L352" t="s">
        <v>31</v>
      </c>
      <c r="M352" t="s">
        <v>40</v>
      </c>
      <c r="N352" t="s">
        <v>33</v>
      </c>
      <c r="O352" t="s">
        <v>34</v>
      </c>
      <c r="P352" t="s">
        <v>26</v>
      </c>
      <c r="Q352">
        <v>699</v>
      </c>
      <c r="R352">
        <v>689</v>
      </c>
    </row>
    <row r="353" spans="1:18">
      <c r="A353" t="s">
        <v>428</v>
      </c>
      <c r="B353" t="s">
        <v>28</v>
      </c>
      <c r="C353" t="s">
        <v>29</v>
      </c>
      <c r="D353" s="8">
        <v>2021</v>
      </c>
      <c r="E353" s="29">
        <v>5</v>
      </c>
      <c r="F353">
        <v>12</v>
      </c>
      <c r="G353">
        <v>64</v>
      </c>
      <c r="H353">
        <v>96</v>
      </c>
      <c r="I353">
        <v>50</v>
      </c>
      <c r="J353">
        <v>6.67</v>
      </c>
      <c r="K353" t="s">
        <v>30</v>
      </c>
      <c r="L353" t="s">
        <v>31</v>
      </c>
      <c r="M353" t="s">
        <v>60</v>
      </c>
      <c r="N353" t="s">
        <v>24</v>
      </c>
      <c r="O353" t="s">
        <v>25</v>
      </c>
      <c r="P353" t="s">
        <v>35</v>
      </c>
      <c r="Q353">
        <v>599</v>
      </c>
      <c r="R353">
        <v>589</v>
      </c>
    </row>
    <row r="354" spans="1:18">
      <c r="A354" t="s">
        <v>429</v>
      </c>
      <c r="B354" t="s">
        <v>77</v>
      </c>
      <c r="C354" t="s">
        <v>78</v>
      </c>
      <c r="D354" s="8">
        <v>2020</v>
      </c>
      <c r="E354" s="29">
        <v>6</v>
      </c>
      <c r="F354">
        <v>8</v>
      </c>
      <c r="G354">
        <v>512</v>
      </c>
      <c r="H354">
        <v>98</v>
      </c>
      <c r="I354">
        <v>12</v>
      </c>
      <c r="J354">
        <v>6.4</v>
      </c>
      <c r="K354" t="s">
        <v>79</v>
      </c>
      <c r="L354" t="s">
        <v>59</v>
      </c>
      <c r="M354" t="s">
        <v>86</v>
      </c>
      <c r="N354" t="s">
        <v>33</v>
      </c>
      <c r="O354" t="s">
        <v>52</v>
      </c>
      <c r="P354" t="s">
        <v>35</v>
      </c>
      <c r="Q354">
        <v>699</v>
      </c>
      <c r="R354">
        <v>642</v>
      </c>
    </row>
    <row r="355" spans="1:18">
      <c r="A355" t="s">
        <v>430</v>
      </c>
      <c r="B355" t="s">
        <v>28</v>
      </c>
      <c r="C355" t="s">
        <v>29</v>
      </c>
      <c r="D355" s="8">
        <v>2023</v>
      </c>
      <c r="E355" s="29">
        <v>3</v>
      </c>
      <c r="F355">
        <v>12</v>
      </c>
      <c r="G355">
        <v>64</v>
      </c>
      <c r="H355">
        <v>94</v>
      </c>
      <c r="I355">
        <v>48</v>
      </c>
      <c r="J355">
        <v>6.4</v>
      </c>
      <c r="K355" t="s">
        <v>30</v>
      </c>
      <c r="L355" t="s">
        <v>22</v>
      </c>
      <c r="M355" t="s">
        <v>32</v>
      </c>
      <c r="N355" t="s">
        <v>24</v>
      </c>
      <c r="O355" t="s">
        <v>41</v>
      </c>
      <c r="P355" t="s">
        <v>35</v>
      </c>
      <c r="Q355">
        <v>599</v>
      </c>
      <c r="R355">
        <v>456</v>
      </c>
    </row>
    <row r="356" spans="1:18">
      <c r="A356" t="s">
        <v>431</v>
      </c>
      <c r="B356" t="s">
        <v>37</v>
      </c>
      <c r="C356" t="s">
        <v>38</v>
      </c>
      <c r="D356" s="8">
        <v>2024</v>
      </c>
      <c r="E356" s="29">
        <v>2</v>
      </c>
      <c r="F356">
        <v>4</v>
      </c>
      <c r="G356">
        <v>256</v>
      </c>
      <c r="H356">
        <v>91</v>
      </c>
      <c r="I356">
        <v>12</v>
      </c>
      <c r="J356">
        <v>6.78</v>
      </c>
      <c r="K356" t="s">
        <v>39</v>
      </c>
      <c r="L356" t="s">
        <v>59</v>
      </c>
      <c r="M356" t="s">
        <v>47</v>
      </c>
      <c r="N356" t="s">
        <v>24</v>
      </c>
      <c r="O356" t="s">
        <v>48</v>
      </c>
      <c r="P356" t="s">
        <v>26</v>
      </c>
      <c r="Q356">
        <v>599</v>
      </c>
      <c r="R356">
        <v>527</v>
      </c>
    </row>
    <row r="357" spans="1:18">
      <c r="A357" t="s">
        <v>432</v>
      </c>
      <c r="B357" t="s">
        <v>73</v>
      </c>
      <c r="C357" t="s">
        <v>105</v>
      </c>
      <c r="D357" s="8">
        <v>2024</v>
      </c>
      <c r="E357" s="29">
        <v>2</v>
      </c>
      <c r="F357">
        <v>8</v>
      </c>
      <c r="G357">
        <v>256</v>
      </c>
      <c r="H357">
        <v>87</v>
      </c>
      <c r="I357">
        <v>64</v>
      </c>
      <c r="J357">
        <v>6.1</v>
      </c>
      <c r="K357" t="s">
        <v>75</v>
      </c>
      <c r="L357" t="s">
        <v>22</v>
      </c>
      <c r="M357" t="s">
        <v>60</v>
      </c>
      <c r="N357" t="s">
        <v>33</v>
      </c>
      <c r="O357" t="s">
        <v>52</v>
      </c>
      <c r="P357" t="s">
        <v>26</v>
      </c>
      <c r="Q357">
        <v>899</v>
      </c>
      <c r="R357">
        <v>660</v>
      </c>
    </row>
    <row r="358" spans="1:18">
      <c r="A358" t="s">
        <v>433</v>
      </c>
      <c r="B358" t="s">
        <v>77</v>
      </c>
      <c r="C358" t="s">
        <v>78</v>
      </c>
      <c r="D358" s="8">
        <v>2020</v>
      </c>
      <c r="E358" s="29">
        <v>6</v>
      </c>
      <c r="F358">
        <v>6</v>
      </c>
      <c r="G358">
        <v>256</v>
      </c>
      <c r="H358">
        <v>81</v>
      </c>
      <c r="I358">
        <v>12</v>
      </c>
      <c r="J358">
        <v>6.7</v>
      </c>
      <c r="K358" t="s">
        <v>79</v>
      </c>
      <c r="L358" t="s">
        <v>59</v>
      </c>
      <c r="M358" t="s">
        <v>23</v>
      </c>
      <c r="N358" t="s">
        <v>24</v>
      </c>
      <c r="O358" t="s">
        <v>34</v>
      </c>
      <c r="P358" t="s">
        <v>26</v>
      </c>
      <c r="Q358">
        <v>699</v>
      </c>
      <c r="R358">
        <v>574</v>
      </c>
    </row>
    <row r="359" spans="1:18">
      <c r="A359" t="s">
        <v>434</v>
      </c>
      <c r="B359" t="s">
        <v>19</v>
      </c>
      <c r="C359" t="s">
        <v>20</v>
      </c>
      <c r="D359" s="8">
        <v>2023</v>
      </c>
      <c r="E359" s="29">
        <v>3</v>
      </c>
      <c r="F359">
        <v>4</v>
      </c>
      <c r="G359">
        <v>64</v>
      </c>
      <c r="H359">
        <v>96</v>
      </c>
      <c r="I359">
        <v>64</v>
      </c>
      <c r="J359">
        <v>6.5</v>
      </c>
      <c r="K359" t="s">
        <v>21</v>
      </c>
      <c r="L359" t="s">
        <v>31</v>
      </c>
      <c r="M359" t="s">
        <v>23</v>
      </c>
      <c r="N359" t="s">
        <v>24</v>
      </c>
      <c r="O359" t="s">
        <v>61</v>
      </c>
      <c r="P359" t="s">
        <v>35</v>
      </c>
      <c r="Q359">
        <v>599</v>
      </c>
      <c r="R359">
        <v>546</v>
      </c>
    </row>
    <row r="360" spans="1:18">
      <c r="A360" t="s">
        <v>435</v>
      </c>
      <c r="B360" t="s">
        <v>44</v>
      </c>
      <c r="C360" t="s">
        <v>45</v>
      </c>
      <c r="D360" s="8">
        <v>2020</v>
      </c>
      <c r="E360" s="29">
        <v>6</v>
      </c>
      <c r="F360">
        <v>6</v>
      </c>
      <c r="G360">
        <v>512</v>
      </c>
      <c r="H360">
        <v>99</v>
      </c>
      <c r="I360">
        <v>108</v>
      </c>
      <c r="J360">
        <v>6.78</v>
      </c>
      <c r="K360" t="s">
        <v>46</v>
      </c>
      <c r="L360" t="s">
        <v>59</v>
      </c>
      <c r="M360" t="s">
        <v>32</v>
      </c>
      <c r="N360" t="s">
        <v>33</v>
      </c>
      <c r="O360" t="s">
        <v>61</v>
      </c>
      <c r="P360" t="s">
        <v>35</v>
      </c>
      <c r="Q360">
        <v>799</v>
      </c>
      <c r="R360">
        <v>747</v>
      </c>
    </row>
    <row r="361" spans="1:18">
      <c r="A361" t="s">
        <v>436</v>
      </c>
      <c r="B361" t="s">
        <v>54</v>
      </c>
      <c r="C361" t="s">
        <v>55</v>
      </c>
      <c r="D361" s="8">
        <v>2023</v>
      </c>
      <c r="E361" s="29">
        <v>3</v>
      </c>
      <c r="F361">
        <v>6</v>
      </c>
      <c r="G361">
        <v>512</v>
      </c>
      <c r="H361">
        <v>95</v>
      </c>
      <c r="I361">
        <v>48</v>
      </c>
      <c r="J361">
        <v>6.2</v>
      </c>
      <c r="K361" t="s">
        <v>56</v>
      </c>
      <c r="L361" t="s">
        <v>22</v>
      </c>
      <c r="M361" t="s">
        <v>47</v>
      </c>
      <c r="N361" t="s">
        <v>24</v>
      </c>
      <c r="O361" t="s">
        <v>25</v>
      </c>
      <c r="P361" t="s">
        <v>35</v>
      </c>
      <c r="Q361">
        <v>549</v>
      </c>
      <c r="R361">
        <v>449</v>
      </c>
    </row>
    <row r="362" spans="1:18">
      <c r="A362" t="s">
        <v>437</v>
      </c>
      <c r="B362" t="s">
        <v>19</v>
      </c>
      <c r="C362" t="s">
        <v>20</v>
      </c>
      <c r="D362" s="8">
        <v>2021</v>
      </c>
      <c r="E362" s="29">
        <v>5</v>
      </c>
      <c r="F362">
        <v>12</v>
      </c>
      <c r="G362">
        <v>64</v>
      </c>
      <c r="H362">
        <v>92</v>
      </c>
      <c r="I362">
        <v>50</v>
      </c>
      <c r="J362">
        <v>6.78</v>
      </c>
      <c r="K362" t="s">
        <v>21</v>
      </c>
      <c r="L362" t="s">
        <v>59</v>
      </c>
      <c r="M362" t="s">
        <v>86</v>
      </c>
      <c r="N362" t="s">
        <v>24</v>
      </c>
      <c r="O362" t="s">
        <v>52</v>
      </c>
      <c r="P362" t="s">
        <v>35</v>
      </c>
      <c r="Q362">
        <v>599</v>
      </c>
      <c r="R362">
        <v>525</v>
      </c>
    </row>
    <row r="363" spans="1:18">
      <c r="A363" t="s">
        <v>438</v>
      </c>
      <c r="B363" t="s">
        <v>44</v>
      </c>
      <c r="C363" t="s">
        <v>45</v>
      </c>
      <c r="D363" s="8">
        <v>2021</v>
      </c>
      <c r="E363" s="29">
        <v>5</v>
      </c>
      <c r="F363">
        <v>12</v>
      </c>
      <c r="G363">
        <v>256</v>
      </c>
      <c r="H363">
        <v>92</v>
      </c>
      <c r="I363">
        <v>50</v>
      </c>
      <c r="J363">
        <v>6.2</v>
      </c>
      <c r="K363" t="s">
        <v>46</v>
      </c>
      <c r="L363" t="s">
        <v>22</v>
      </c>
      <c r="M363" t="s">
        <v>40</v>
      </c>
      <c r="N363" t="s">
        <v>24</v>
      </c>
      <c r="O363" t="s">
        <v>84</v>
      </c>
      <c r="P363" t="s">
        <v>35</v>
      </c>
      <c r="Q363">
        <v>799</v>
      </c>
      <c r="R363">
        <v>565</v>
      </c>
    </row>
    <row r="364" spans="1:18">
      <c r="A364" t="s">
        <v>439</v>
      </c>
      <c r="B364" t="s">
        <v>28</v>
      </c>
      <c r="C364" t="s">
        <v>29</v>
      </c>
      <c r="D364" s="8">
        <v>2023</v>
      </c>
      <c r="E364" s="29">
        <v>3</v>
      </c>
      <c r="F364">
        <v>8</v>
      </c>
      <c r="G364">
        <v>64</v>
      </c>
      <c r="H364">
        <v>94</v>
      </c>
      <c r="I364">
        <v>48</v>
      </c>
      <c r="J364">
        <v>6.1</v>
      </c>
      <c r="K364" t="s">
        <v>30</v>
      </c>
      <c r="L364" t="s">
        <v>22</v>
      </c>
      <c r="M364" t="s">
        <v>60</v>
      </c>
      <c r="N364" t="s">
        <v>33</v>
      </c>
      <c r="O364" t="s">
        <v>41</v>
      </c>
      <c r="P364" t="s">
        <v>26</v>
      </c>
      <c r="Q364">
        <v>599</v>
      </c>
      <c r="R364">
        <v>410</v>
      </c>
    </row>
    <row r="365" spans="1:18">
      <c r="A365" t="s">
        <v>440</v>
      </c>
      <c r="B365" t="s">
        <v>28</v>
      </c>
      <c r="C365" t="s">
        <v>29</v>
      </c>
      <c r="D365" s="8">
        <v>2021</v>
      </c>
      <c r="E365" s="29">
        <v>5</v>
      </c>
      <c r="F365">
        <v>6</v>
      </c>
      <c r="G365">
        <v>64</v>
      </c>
      <c r="H365">
        <v>75</v>
      </c>
      <c r="I365">
        <v>64</v>
      </c>
      <c r="J365">
        <v>6.67</v>
      </c>
      <c r="K365" t="s">
        <v>30</v>
      </c>
      <c r="L365" t="s">
        <v>59</v>
      </c>
      <c r="M365" t="s">
        <v>47</v>
      </c>
      <c r="N365" t="s">
        <v>33</v>
      </c>
      <c r="O365" t="s">
        <v>34</v>
      </c>
      <c r="P365" t="s">
        <v>35</v>
      </c>
      <c r="Q365">
        <v>599</v>
      </c>
      <c r="R365">
        <v>491</v>
      </c>
    </row>
    <row r="366" spans="1:18">
      <c r="A366" t="s">
        <v>441</v>
      </c>
      <c r="B366" t="s">
        <v>28</v>
      </c>
      <c r="C366" t="s">
        <v>29</v>
      </c>
      <c r="D366" s="8">
        <v>2020</v>
      </c>
      <c r="E366" s="29">
        <v>6</v>
      </c>
      <c r="F366">
        <v>4</v>
      </c>
      <c r="G366">
        <v>64</v>
      </c>
      <c r="H366">
        <v>97</v>
      </c>
      <c r="I366">
        <v>64</v>
      </c>
      <c r="J366">
        <v>6.7</v>
      </c>
      <c r="K366" t="s">
        <v>30</v>
      </c>
      <c r="L366" t="s">
        <v>22</v>
      </c>
      <c r="M366" t="s">
        <v>40</v>
      </c>
      <c r="N366" t="s">
        <v>33</v>
      </c>
      <c r="O366" t="s">
        <v>25</v>
      </c>
      <c r="P366" t="s">
        <v>26</v>
      </c>
      <c r="Q366">
        <v>599</v>
      </c>
      <c r="R366">
        <v>403</v>
      </c>
    </row>
    <row r="367" spans="1:18">
      <c r="A367" t="s">
        <v>442</v>
      </c>
      <c r="B367" t="s">
        <v>44</v>
      </c>
      <c r="C367" t="s">
        <v>45</v>
      </c>
      <c r="D367" s="8">
        <v>2024</v>
      </c>
      <c r="E367" s="29">
        <v>2</v>
      </c>
      <c r="F367">
        <v>4</v>
      </c>
      <c r="G367">
        <v>64</v>
      </c>
      <c r="H367">
        <v>89</v>
      </c>
      <c r="I367">
        <v>108</v>
      </c>
      <c r="J367">
        <v>6.78</v>
      </c>
      <c r="K367" t="s">
        <v>46</v>
      </c>
      <c r="L367" t="s">
        <v>59</v>
      </c>
      <c r="M367" t="s">
        <v>86</v>
      </c>
      <c r="N367" t="s">
        <v>33</v>
      </c>
      <c r="O367" t="s">
        <v>87</v>
      </c>
      <c r="P367" t="s">
        <v>35</v>
      </c>
      <c r="Q367">
        <v>799</v>
      </c>
      <c r="R367">
        <v>645</v>
      </c>
    </row>
    <row r="368" spans="1:18">
      <c r="A368" t="s">
        <v>443</v>
      </c>
      <c r="B368" t="s">
        <v>28</v>
      </c>
      <c r="C368" t="s">
        <v>29</v>
      </c>
      <c r="D368" s="8">
        <v>2020</v>
      </c>
      <c r="E368" s="29">
        <v>6</v>
      </c>
      <c r="F368">
        <v>12</v>
      </c>
      <c r="G368">
        <v>256</v>
      </c>
      <c r="H368">
        <v>86</v>
      </c>
      <c r="I368">
        <v>108</v>
      </c>
      <c r="J368">
        <v>6.4</v>
      </c>
      <c r="K368" t="s">
        <v>30</v>
      </c>
      <c r="L368" t="s">
        <v>59</v>
      </c>
      <c r="M368" t="s">
        <v>86</v>
      </c>
      <c r="N368" t="s">
        <v>24</v>
      </c>
      <c r="O368" t="s">
        <v>52</v>
      </c>
      <c r="P368" t="s">
        <v>35</v>
      </c>
      <c r="Q368">
        <v>599</v>
      </c>
      <c r="R368">
        <v>549</v>
      </c>
    </row>
    <row r="369" spans="1:18">
      <c r="A369" t="s">
        <v>444</v>
      </c>
      <c r="B369" t="s">
        <v>68</v>
      </c>
      <c r="C369" t="s">
        <v>81</v>
      </c>
      <c r="D369" s="8">
        <v>2022</v>
      </c>
      <c r="E369" s="29">
        <v>4</v>
      </c>
      <c r="F369">
        <v>8</v>
      </c>
      <c r="G369">
        <v>128</v>
      </c>
      <c r="H369">
        <v>90</v>
      </c>
      <c r="I369">
        <v>48</v>
      </c>
      <c r="J369">
        <v>6.4</v>
      </c>
      <c r="K369" t="s">
        <v>82</v>
      </c>
      <c r="L369" t="s">
        <v>22</v>
      </c>
      <c r="M369" t="s">
        <v>23</v>
      </c>
      <c r="N369" t="s">
        <v>24</v>
      </c>
      <c r="O369" t="s">
        <v>87</v>
      </c>
      <c r="P369" t="s">
        <v>26</v>
      </c>
      <c r="Q369">
        <v>299</v>
      </c>
      <c r="R369">
        <v>262</v>
      </c>
    </row>
    <row r="370" spans="1:18">
      <c r="A370" t="s">
        <v>445</v>
      </c>
      <c r="B370" t="s">
        <v>28</v>
      </c>
      <c r="C370" t="s">
        <v>29</v>
      </c>
      <c r="D370" s="8">
        <v>2022</v>
      </c>
      <c r="E370" s="29">
        <v>4</v>
      </c>
      <c r="F370">
        <v>8</v>
      </c>
      <c r="G370">
        <v>128</v>
      </c>
      <c r="H370">
        <v>100</v>
      </c>
      <c r="I370">
        <v>108</v>
      </c>
      <c r="J370">
        <v>6.5</v>
      </c>
      <c r="K370" t="s">
        <v>30</v>
      </c>
      <c r="L370" t="s">
        <v>22</v>
      </c>
      <c r="M370" t="s">
        <v>32</v>
      </c>
      <c r="N370" t="s">
        <v>33</v>
      </c>
      <c r="O370" t="s">
        <v>61</v>
      </c>
      <c r="P370" t="s">
        <v>26</v>
      </c>
      <c r="Q370">
        <v>599</v>
      </c>
      <c r="R370">
        <v>448</v>
      </c>
    </row>
    <row r="371" spans="1:18">
      <c r="A371" t="s">
        <v>446</v>
      </c>
      <c r="B371" t="s">
        <v>54</v>
      </c>
      <c r="C371" t="s">
        <v>55</v>
      </c>
      <c r="D371" s="8">
        <v>2021</v>
      </c>
      <c r="E371" s="29">
        <v>5</v>
      </c>
      <c r="F371">
        <v>12</v>
      </c>
      <c r="G371">
        <v>64</v>
      </c>
      <c r="H371">
        <v>97</v>
      </c>
      <c r="I371">
        <v>108</v>
      </c>
      <c r="J371">
        <v>6.2</v>
      </c>
      <c r="K371" t="s">
        <v>56</v>
      </c>
      <c r="L371" t="s">
        <v>22</v>
      </c>
      <c r="M371" t="s">
        <v>23</v>
      </c>
      <c r="N371" t="s">
        <v>33</v>
      </c>
      <c r="O371" t="s">
        <v>87</v>
      </c>
      <c r="P371" t="s">
        <v>26</v>
      </c>
      <c r="Q371">
        <v>549</v>
      </c>
      <c r="R371">
        <v>383</v>
      </c>
    </row>
    <row r="372" spans="1:18">
      <c r="A372" t="s">
        <v>447</v>
      </c>
      <c r="B372" t="s">
        <v>77</v>
      </c>
      <c r="C372" t="s">
        <v>78</v>
      </c>
      <c r="D372" s="8">
        <v>2023</v>
      </c>
      <c r="E372" s="29">
        <v>3</v>
      </c>
      <c r="F372">
        <v>8</v>
      </c>
      <c r="G372">
        <v>512</v>
      </c>
      <c r="H372">
        <v>77</v>
      </c>
      <c r="I372">
        <v>48</v>
      </c>
      <c r="J372">
        <v>6.5</v>
      </c>
      <c r="K372" t="s">
        <v>79</v>
      </c>
      <c r="L372" t="s">
        <v>31</v>
      </c>
      <c r="M372" t="s">
        <v>60</v>
      </c>
      <c r="N372" t="s">
        <v>33</v>
      </c>
      <c r="O372" t="s">
        <v>48</v>
      </c>
      <c r="P372" t="s">
        <v>26</v>
      </c>
      <c r="Q372">
        <v>699</v>
      </c>
      <c r="R372">
        <v>689</v>
      </c>
    </row>
    <row r="373" spans="1:18">
      <c r="A373" t="s">
        <v>448</v>
      </c>
      <c r="B373" t="s">
        <v>73</v>
      </c>
      <c r="C373" t="s">
        <v>105</v>
      </c>
      <c r="D373" s="8">
        <v>2022</v>
      </c>
      <c r="E373" s="29">
        <v>4</v>
      </c>
      <c r="F373">
        <v>12</v>
      </c>
      <c r="G373">
        <v>64</v>
      </c>
      <c r="H373">
        <v>75</v>
      </c>
      <c r="I373">
        <v>12</v>
      </c>
      <c r="J373">
        <v>6.67</v>
      </c>
      <c r="K373" t="s">
        <v>75</v>
      </c>
      <c r="L373" t="s">
        <v>22</v>
      </c>
      <c r="M373" t="s">
        <v>23</v>
      </c>
      <c r="N373" t="s">
        <v>24</v>
      </c>
      <c r="O373" t="s">
        <v>48</v>
      </c>
      <c r="P373" t="s">
        <v>35</v>
      </c>
      <c r="Q373">
        <v>899</v>
      </c>
      <c r="R373">
        <v>619</v>
      </c>
    </row>
    <row r="374" spans="1:18">
      <c r="A374" t="s">
        <v>449</v>
      </c>
      <c r="B374" t="s">
        <v>44</v>
      </c>
      <c r="C374" t="s">
        <v>45</v>
      </c>
      <c r="D374" s="8">
        <v>2024</v>
      </c>
      <c r="E374" s="29">
        <v>2</v>
      </c>
      <c r="F374">
        <v>4</v>
      </c>
      <c r="G374">
        <v>64</v>
      </c>
      <c r="H374">
        <v>81</v>
      </c>
      <c r="I374">
        <v>50</v>
      </c>
      <c r="J374">
        <v>6.78</v>
      </c>
      <c r="K374" t="s">
        <v>46</v>
      </c>
      <c r="L374" t="s">
        <v>59</v>
      </c>
      <c r="M374" t="s">
        <v>47</v>
      </c>
      <c r="N374" t="s">
        <v>33</v>
      </c>
      <c r="O374" t="s">
        <v>34</v>
      </c>
      <c r="P374" t="s">
        <v>26</v>
      </c>
      <c r="Q374">
        <v>799</v>
      </c>
      <c r="R374">
        <v>640</v>
      </c>
    </row>
    <row r="375" spans="1:18">
      <c r="A375" t="s">
        <v>450</v>
      </c>
      <c r="B375" t="s">
        <v>37</v>
      </c>
      <c r="C375" t="s">
        <v>38</v>
      </c>
      <c r="D375" s="8">
        <v>2020</v>
      </c>
      <c r="E375" s="29">
        <v>6</v>
      </c>
      <c r="F375">
        <v>4</v>
      </c>
      <c r="G375">
        <v>512</v>
      </c>
      <c r="H375">
        <v>99</v>
      </c>
      <c r="I375">
        <v>48</v>
      </c>
      <c r="J375">
        <v>6.2</v>
      </c>
      <c r="K375" t="s">
        <v>39</v>
      </c>
      <c r="L375" t="s">
        <v>22</v>
      </c>
      <c r="M375" t="s">
        <v>23</v>
      </c>
      <c r="N375" t="s">
        <v>24</v>
      </c>
      <c r="O375" t="s">
        <v>52</v>
      </c>
      <c r="P375" t="s">
        <v>26</v>
      </c>
      <c r="Q375">
        <v>599</v>
      </c>
      <c r="R375">
        <v>481</v>
      </c>
    </row>
    <row r="376" spans="1:18">
      <c r="A376" t="s">
        <v>451</v>
      </c>
      <c r="B376" t="s">
        <v>77</v>
      </c>
      <c r="C376" t="s">
        <v>78</v>
      </c>
      <c r="D376" s="8">
        <v>2020</v>
      </c>
      <c r="E376" s="29">
        <v>6</v>
      </c>
      <c r="F376">
        <v>8</v>
      </c>
      <c r="G376">
        <v>64</v>
      </c>
      <c r="H376">
        <v>94</v>
      </c>
      <c r="I376">
        <v>48</v>
      </c>
      <c r="J376">
        <v>6.4</v>
      </c>
      <c r="K376" t="s">
        <v>79</v>
      </c>
      <c r="L376" t="s">
        <v>31</v>
      </c>
      <c r="M376" t="s">
        <v>32</v>
      </c>
      <c r="N376" t="s">
        <v>33</v>
      </c>
      <c r="O376" t="s">
        <v>87</v>
      </c>
      <c r="P376" t="s">
        <v>35</v>
      </c>
      <c r="Q376">
        <v>699</v>
      </c>
      <c r="R376">
        <v>641</v>
      </c>
    </row>
    <row r="377" spans="1:18">
      <c r="A377" t="s">
        <v>452</v>
      </c>
      <c r="B377" t="s">
        <v>28</v>
      </c>
      <c r="C377" t="s">
        <v>29</v>
      </c>
      <c r="D377" s="8">
        <v>2024</v>
      </c>
      <c r="E377" s="29">
        <v>2</v>
      </c>
      <c r="F377">
        <v>8</v>
      </c>
      <c r="G377">
        <v>512</v>
      </c>
      <c r="H377">
        <v>85</v>
      </c>
      <c r="I377">
        <v>12</v>
      </c>
      <c r="J377">
        <v>6.7</v>
      </c>
      <c r="K377" t="s">
        <v>30</v>
      </c>
      <c r="L377" t="s">
        <v>31</v>
      </c>
      <c r="M377" t="s">
        <v>32</v>
      </c>
      <c r="N377" t="s">
        <v>33</v>
      </c>
      <c r="O377" t="s">
        <v>41</v>
      </c>
      <c r="P377" t="s">
        <v>26</v>
      </c>
      <c r="Q377">
        <v>599</v>
      </c>
      <c r="R377">
        <v>589</v>
      </c>
    </row>
    <row r="378" spans="1:18">
      <c r="A378" t="s">
        <v>453</v>
      </c>
      <c r="B378" t="s">
        <v>73</v>
      </c>
      <c r="C378" t="s">
        <v>74</v>
      </c>
      <c r="D378" s="8">
        <v>2022</v>
      </c>
      <c r="E378" s="29">
        <v>4</v>
      </c>
      <c r="F378">
        <v>12</v>
      </c>
      <c r="G378">
        <v>512</v>
      </c>
      <c r="H378">
        <v>88</v>
      </c>
      <c r="I378">
        <v>64</v>
      </c>
      <c r="J378">
        <v>6.2</v>
      </c>
      <c r="K378" t="s">
        <v>75</v>
      </c>
      <c r="L378" t="s">
        <v>31</v>
      </c>
      <c r="M378" t="s">
        <v>32</v>
      </c>
      <c r="N378" t="s">
        <v>24</v>
      </c>
      <c r="O378" t="s">
        <v>87</v>
      </c>
      <c r="P378" t="s">
        <v>35</v>
      </c>
      <c r="Q378">
        <v>799</v>
      </c>
      <c r="R378">
        <v>789</v>
      </c>
    </row>
    <row r="379" spans="1:18">
      <c r="A379" t="s">
        <v>454</v>
      </c>
      <c r="B379" t="s">
        <v>77</v>
      </c>
      <c r="C379" t="s">
        <v>78</v>
      </c>
      <c r="D379" s="8">
        <v>2023</v>
      </c>
      <c r="E379" s="29">
        <v>3</v>
      </c>
      <c r="F379">
        <v>4</v>
      </c>
      <c r="G379">
        <v>64</v>
      </c>
      <c r="H379">
        <v>100</v>
      </c>
      <c r="I379">
        <v>48</v>
      </c>
      <c r="J379">
        <v>6.78</v>
      </c>
      <c r="K379" t="s">
        <v>79</v>
      </c>
      <c r="L379" t="s">
        <v>59</v>
      </c>
      <c r="M379" t="s">
        <v>23</v>
      </c>
      <c r="N379" t="s">
        <v>24</v>
      </c>
      <c r="O379" t="s">
        <v>52</v>
      </c>
      <c r="P379" t="s">
        <v>35</v>
      </c>
      <c r="Q379">
        <v>699</v>
      </c>
      <c r="R379">
        <v>550</v>
      </c>
    </row>
    <row r="380" spans="1:18">
      <c r="A380" t="s">
        <v>455</v>
      </c>
      <c r="B380" t="s">
        <v>89</v>
      </c>
      <c r="C380" t="s">
        <v>115</v>
      </c>
      <c r="D380" s="8">
        <v>2023</v>
      </c>
      <c r="E380" s="29">
        <v>3</v>
      </c>
      <c r="F380">
        <v>8</v>
      </c>
      <c r="G380">
        <v>64</v>
      </c>
      <c r="H380">
        <v>89</v>
      </c>
      <c r="I380">
        <v>12</v>
      </c>
      <c r="J380">
        <v>6.7</v>
      </c>
      <c r="K380" t="s">
        <v>116</v>
      </c>
      <c r="L380" t="s">
        <v>59</v>
      </c>
      <c r="M380" t="s">
        <v>40</v>
      </c>
      <c r="N380" t="s">
        <v>24</v>
      </c>
      <c r="O380" t="s">
        <v>87</v>
      </c>
      <c r="P380" t="s">
        <v>35</v>
      </c>
      <c r="Q380">
        <v>999</v>
      </c>
      <c r="R380">
        <v>794</v>
      </c>
    </row>
    <row r="381" spans="1:18">
      <c r="A381" t="s">
        <v>456</v>
      </c>
      <c r="B381" t="s">
        <v>37</v>
      </c>
      <c r="C381" t="s">
        <v>38</v>
      </c>
      <c r="D381" s="8">
        <v>2021</v>
      </c>
      <c r="E381" s="29">
        <v>5</v>
      </c>
      <c r="F381">
        <v>12</v>
      </c>
      <c r="G381">
        <v>128</v>
      </c>
      <c r="H381">
        <v>86</v>
      </c>
      <c r="I381">
        <v>108</v>
      </c>
      <c r="J381">
        <v>6.4</v>
      </c>
      <c r="K381" t="s">
        <v>39</v>
      </c>
      <c r="L381" t="s">
        <v>31</v>
      </c>
      <c r="M381" t="s">
        <v>47</v>
      </c>
      <c r="N381" t="s">
        <v>33</v>
      </c>
      <c r="O381" t="s">
        <v>48</v>
      </c>
      <c r="P381" t="s">
        <v>26</v>
      </c>
      <c r="Q381">
        <v>599</v>
      </c>
      <c r="R381">
        <v>589</v>
      </c>
    </row>
    <row r="382" spans="1:18">
      <c r="A382" t="s">
        <v>457</v>
      </c>
      <c r="B382" t="s">
        <v>19</v>
      </c>
      <c r="C382" t="s">
        <v>20</v>
      </c>
      <c r="D382" s="8">
        <v>2021</v>
      </c>
      <c r="E382" s="29">
        <v>5</v>
      </c>
      <c r="F382">
        <v>12</v>
      </c>
      <c r="G382">
        <v>64</v>
      </c>
      <c r="H382">
        <v>98</v>
      </c>
      <c r="I382">
        <v>12</v>
      </c>
      <c r="J382">
        <v>6.67</v>
      </c>
      <c r="K382" t="s">
        <v>21</v>
      </c>
      <c r="L382" t="s">
        <v>31</v>
      </c>
      <c r="M382" t="s">
        <v>47</v>
      </c>
      <c r="N382" t="s">
        <v>33</v>
      </c>
      <c r="O382" t="s">
        <v>48</v>
      </c>
      <c r="P382" t="s">
        <v>26</v>
      </c>
      <c r="Q382">
        <v>599</v>
      </c>
      <c r="R382">
        <v>589</v>
      </c>
    </row>
    <row r="383" spans="1:18">
      <c r="A383" t="s">
        <v>458</v>
      </c>
      <c r="B383" t="s">
        <v>77</v>
      </c>
      <c r="C383" t="s">
        <v>78</v>
      </c>
      <c r="D383" s="8">
        <v>2024</v>
      </c>
      <c r="E383" s="29">
        <v>2</v>
      </c>
      <c r="F383">
        <v>12</v>
      </c>
      <c r="G383">
        <v>64</v>
      </c>
      <c r="H383">
        <v>81</v>
      </c>
      <c r="I383">
        <v>108</v>
      </c>
      <c r="J383">
        <v>6.78</v>
      </c>
      <c r="K383" t="s">
        <v>79</v>
      </c>
      <c r="L383" t="s">
        <v>22</v>
      </c>
      <c r="M383" t="s">
        <v>32</v>
      </c>
      <c r="N383" t="s">
        <v>33</v>
      </c>
      <c r="O383" t="s">
        <v>34</v>
      </c>
      <c r="P383" t="s">
        <v>35</v>
      </c>
      <c r="Q383">
        <v>699</v>
      </c>
      <c r="R383">
        <v>483</v>
      </c>
    </row>
    <row r="384" spans="1:18">
      <c r="A384" t="s">
        <v>459</v>
      </c>
      <c r="B384" t="s">
        <v>68</v>
      </c>
      <c r="C384" t="s">
        <v>81</v>
      </c>
      <c r="D384" s="8">
        <v>2024</v>
      </c>
      <c r="E384" s="29">
        <v>2</v>
      </c>
      <c r="F384">
        <v>6</v>
      </c>
      <c r="G384">
        <v>512</v>
      </c>
      <c r="H384">
        <v>78</v>
      </c>
      <c r="I384">
        <v>108</v>
      </c>
      <c r="J384">
        <v>6.7</v>
      </c>
      <c r="K384" t="s">
        <v>82</v>
      </c>
      <c r="L384" t="s">
        <v>57</v>
      </c>
      <c r="M384" t="s">
        <v>32</v>
      </c>
      <c r="N384" t="s">
        <v>24</v>
      </c>
      <c r="O384" t="s">
        <v>34</v>
      </c>
      <c r="P384" t="s">
        <v>35</v>
      </c>
      <c r="Q384">
        <v>299</v>
      </c>
      <c r="R384">
        <v>264</v>
      </c>
    </row>
    <row r="385" spans="1:18">
      <c r="A385" t="s">
        <v>460</v>
      </c>
      <c r="B385" t="s">
        <v>73</v>
      </c>
      <c r="C385" t="s">
        <v>74</v>
      </c>
      <c r="D385" s="8">
        <v>2021</v>
      </c>
      <c r="E385" s="29">
        <v>5</v>
      </c>
      <c r="F385">
        <v>8</v>
      </c>
      <c r="G385">
        <v>256</v>
      </c>
      <c r="H385">
        <v>81</v>
      </c>
      <c r="I385">
        <v>12</v>
      </c>
      <c r="J385">
        <v>6.7</v>
      </c>
      <c r="K385" t="s">
        <v>75</v>
      </c>
      <c r="L385" t="s">
        <v>57</v>
      </c>
      <c r="M385" t="s">
        <v>40</v>
      </c>
      <c r="N385" t="s">
        <v>33</v>
      </c>
      <c r="O385" t="s">
        <v>48</v>
      </c>
      <c r="P385" t="s">
        <v>35</v>
      </c>
      <c r="Q385">
        <v>799</v>
      </c>
      <c r="R385">
        <v>469</v>
      </c>
    </row>
    <row r="386" spans="1:18">
      <c r="A386" t="s">
        <v>461</v>
      </c>
      <c r="B386" t="s">
        <v>54</v>
      </c>
      <c r="C386" t="s">
        <v>55</v>
      </c>
      <c r="D386" s="8">
        <v>2020</v>
      </c>
      <c r="E386" s="29">
        <v>6</v>
      </c>
      <c r="F386">
        <v>6</v>
      </c>
      <c r="G386">
        <v>128</v>
      </c>
      <c r="H386">
        <v>88</v>
      </c>
      <c r="I386">
        <v>48</v>
      </c>
      <c r="J386">
        <v>6.4</v>
      </c>
      <c r="K386" t="s">
        <v>56</v>
      </c>
      <c r="L386" t="s">
        <v>57</v>
      </c>
      <c r="M386" t="s">
        <v>60</v>
      </c>
      <c r="N386" t="s">
        <v>33</v>
      </c>
      <c r="O386" t="s">
        <v>25</v>
      </c>
      <c r="P386" t="s">
        <v>26</v>
      </c>
      <c r="Q386">
        <v>549</v>
      </c>
      <c r="R386">
        <v>289</v>
      </c>
    </row>
    <row r="387" spans="1:18">
      <c r="A387" t="s">
        <v>462</v>
      </c>
      <c r="B387" t="s">
        <v>77</v>
      </c>
      <c r="C387" t="s">
        <v>78</v>
      </c>
      <c r="D387" s="8">
        <v>2024</v>
      </c>
      <c r="E387" s="29">
        <v>2</v>
      </c>
      <c r="F387">
        <v>12</v>
      </c>
      <c r="G387">
        <v>64</v>
      </c>
      <c r="H387">
        <v>75</v>
      </c>
      <c r="I387">
        <v>50</v>
      </c>
      <c r="J387">
        <v>6.78</v>
      </c>
      <c r="K387" t="s">
        <v>79</v>
      </c>
      <c r="L387" t="s">
        <v>22</v>
      </c>
      <c r="M387" t="s">
        <v>86</v>
      </c>
      <c r="N387" t="s">
        <v>33</v>
      </c>
      <c r="O387" t="s">
        <v>52</v>
      </c>
      <c r="P387" t="s">
        <v>26</v>
      </c>
      <c r="Q387">
        <v>699</v>
      </c>
      <c r="R387">
        <v>491</v>
      </c>
    </row>
    <row r="388" spans="1:18">
      <c r="A388" t="s">
        <v>463</v>
      </c>
      <c r="B388" t="s">
        <v>44</v>
      </c>
      <c r="C388" t="s">
        <v>45</v>
      </c>
      <c r="D388" s="8">
        <v>2023</v>
      </c>
      <c r="E388" s="29">
        <v>3</v>
      </c>
      <c r="F388">
        <v>8</v>
      </c>
      <c r="G388">
        <v>512</v>
      </c>
      <c r="H388">
        <v>93</v>
      </c>
      <c r="I388">
        <v>64</v>
      </c>
      <c r="J388">
        <v>6.78</v>
      </c>
      <c r="K388" t="s">
        <v>46</v>
      </c>
      <c r="L388" t="s">
        <v>31</v>
      </c>
      <c r="M388" t="s">
        <v>47</v>
      </c>
      <c r="N388" t="s">
        <v>24</v>
      </c>
      <c r="O388" t="s">
        <v>61</v>
      </c>
      <c r="P388" t="s">
        <v>35</v>
      </c>
      <c r="Q388">
        <v>799</v>
      </c>
      <c r="R388">
        <v>786</v>
      </c>
    </row>
    <row r="389" spans="1:18">
      <c r="A389" t="s">
        <v>464</v>
      </c>
      <c r="B389" t="s">
        <v>68</v>
      </c>
      <c r="C389" t="s">
        <v>81</v>
      </c>
      <c r="D389" s="8">
        <v>2021</v>
      </c>
      <c r="E389" s="29">
        <v>5</v>
      </c>
      <c r="F389">
        <v>6</v>
      </c>
      <c r="G389">
        <v>256</v>
      </c>
      <c r="H389">
        <v>75</v>
      </c>
      <c r="I389">
        <v>64</v>
      </c>
      <c r="J389">
        <v>6.5</v>
      </c>
      <c r="K389" t="s">
        <v>82</v>
      </c>
      <c r="L389" t="s">
        <v>59</v>
      </c>
      <c r="M389" t="s">
        <v>60</v>
      </c>
      <c r="N389" t="s">
        <v>24</v>
      </c>
      <c r="O389" t="s">
        <v>87</v>
      </c>
      <c r="P389" t="s">
        <v>26</v>
      </c>
      <c r="Q389">
        <v>299</v>
      </c>
      <c r="R389">
        <v>274</v>
      </c>
    </row>
    <row r="390" spans="1:18">
      <c r="A390" t="s">
        <v>465</v>
      </c>
      <c r="B390" t="s">
        <v>64</v>
      </c>
      <c r="C390" t="s">
        <v>65</v>
      </c>
      <c r="D390" s="8">
        <v>2022</v>
      </c>
      <c r="E390" s="29">
        <v>4</v>
      </c>
      <c r="F390">
        <v>6</v>
      </c>
      <c r="G390">
        <v>512</v>
      </c>
      <c r="H390">
        <v>91</v>
      </c>
      <c r="I390">
        <v>50</v>
      </c>
      <c r="J390">
        <v>6.7</v>
      </c>
      <c r="K390" t="s">
        <v>66</v>
      </c>
      <c r="L390" t="s">
        <v>59</v>
      </c>
      <c r="M390" t="s">
        <v>60</v>
      </c>
      <c r="N390" t="s">
        <v>33</v>
      </c>
      <c r="O390" t="s">
        <v>84</v>
      </c>
      <c r="P390" t="s">
        <v>26</v>
      </c>
      <c r="Q390">
        <v>499</v>
      </c>
      <c r="R390">
        <v>489</v>
      </c>
    </row>
    <row r="391" spans="1:18">
      <c r="A391" t="s">
        <v>466</v>
      </c>
      <c r="B391" t="s">
        <v>64</v>
      </c>
      <c r="C391" t="s">
        <v>65</v>
      </c>
      <c r="D391" s="8">
        <v>2022</v>
      </c>
      <c r="E391" s="29">
        <v>4</v>
      </c>
      <c r="F391">
        <v>4</v>
      </c>
      <c r="G391">
        <v>256</v>
      </c>
      <c r="H391">
        <v>96</v>
      </c>
      <c r="I391">
        <v>12</v>
      </c>
      <c r="J391">
        <v>6.67</v>
      </c>
      <c r="K391" t="s">
        <v>66</v>
      </c>
      <c r="L391" t="s">
        <v>31</v>
      </c>
      <c r="M391" t="s">
        <v>23</v>
      </c>
      <c r="N391" t="s">
        <v>33</v>
      </c>
      <c r="O391" t="s">
        <v>84</v>
      </c>
      <c r="P391" t="s">
        <v>26</v>
      </c>
      <c r="Q391">
        <v>499</v>
      </c>
      <c r="R391">
        <v>489</v>
      </c>
    </row>
    <row r="392" spans="1:18">
      <c r="A392" t="s">
        <v>467</v>
      </c>
      <c r="B392" t="s">
        <v>89</v>
      </c>
      <c r="C392" t="s">
        <v>115</v>
      </c>
      <c r="D392" s="8">
        <v>2024</v>
      </c>
      <c r="E392" s="29">
        <v>2</v>
      </c>
      <c r="F392">
        <v>6</v>
      </c>
      <c r="G392">
        <v>512</v>
      </c>
      <c r="H392">
        <v>77</v>
      </c>
      <c r="I392">
        <v>64</v>
      </c>
      <c r="J392">
        <v>6.78</v>
      </c>
      <c r="K392" t="s">
        <v>116</v>
      </c>
      <c r="L392" t="s">
        <v>59</v>
      </c>
      <c r="M392" t="s">
        <v>60</v>
      </c>
      <c r="N392" t="s">
        <v>24</v>
      </c>
      <c r="O392" t="s">
        <v>61</v>
      </c>
      <c r="P392" t="s">
        <v>35</v>
      </c>
      <c r="Q392">
        <v>999</v>
      </c>
      <c r="R392">
        <v>855</v>
      </c>
    </row>
    <row r="393" spans="1:18">
      <c r="A393" t="s">
        <v>468</v>
      </c>
      <c r="B393" t="s">
        <v>54</v>
      </c>
      <c r="C393" t="s">
        <v>55</v>
      </c>
      <c r="D393" s="8">
        <v>2024</v>
      </c>
      <c r="E393" s="29">
        <v>2</v>
      </c>
      <c r="F393">
        <v>8</v>
      </c>
      <c r="G393">
        <v>512</v>
      </c>
      <c r="H393">
        <v>80</v>
      </c>
      <c r="I393">
        <v>48</v>
      </c>
      <c r="J393">
        <v>6.67</v>
      </c>
      <c r="K393" t="s">
        <v>56</v>
      </c>
      <c r="L393" t="s">
        <v>22</v>
      </c>
      <c r="M393" t="s">
        <v>32</v>
      </c>
      <c r="N393" t="s">
        <v>24</v>
      </c>
      <c r="O393" t="s">
        <v>61</v>
      </c>
      <c r="P393" t="s">
        <v>35</v>
      </c>
      <c r="Q393">
        <v>549</v>
      </c>
      <c r="R393">
        <v>449</v>
      </c>
    </row>
    <row r="394" spans="1:18">
      <c r="A394" t="s">
        <v>469</v>
      </c>
      <c r="B394" t="s">
        <v>37</v>
      </c>
      <c r="C394" t="s">
        <v>38</v>
      </c>
      <c r="D394" s="8">
        <v>2022</v>
      </c>
      <c r="E394" s="29">
        <v>4</v>
      </c>
      <c r="F394">
        <v>4</v>
      </c>
      <c r="G394">
        <v>512</v>
      </c>
      <c r="H394">
        <v>87</v>
      </c>
      <c r="I394">
        <v>64</v>
      </c>
      <c r="J394">
        <v>6.7</v>
      </c>
      <c r="K394" t="s">
        <v>39</v>
      </c>
      <c r="L394" t="s">
        <v>59</v>
      </c>
      <c r="M394" t="s">
        <v>47</v>
      </c>
      <c r="N394" t="s">
        <v>33</v>
      </c>
      <c r="O394" t="s">
        <v>48</v>
      </c>
      <c r="P394" t="s">
        <v>26</v>
      </c>
      <c r="Q394">
        <v>599</v>
      </c>
      <c r="R394">
        <v>552</v>
      </c>
    </row>
    <row r="395" spans="1:18">
      <c r="A395" t="s">
        <v>470</v>
      </c>
      <c r="B395" t="s">
        <v>54</v>
      </c>
      <c r="C395" t="s">
        <v>55</v>
      </c>
      <c r="D395" s="8">
        <v>2021</v>
      </c>
      <c r="E395" s="29">
        <v>5</v>
      </c>
      <c r="F395">
        <v>4</v>
      </c>
      <c r="G395">
        <v>128</v>
      </c>
      <c r="H395">
        <v>85</v>
      </c>
      <c r="I395">
        <v>12</v>
      </c>
      <c r="J395">
        <v>6.7</v>
      </c>
      <c r="K395" t="s">
        <v>56</v>
      </c>
      <c r="L395" t="s">
        <v>59</v>
      </c>
      <c r="M395" t="s">
        <v>40</v>
      </c>
      <c r="N395" t="s">
        <v>24</v>
      </c>
      <c r="O395" t="s">
        <v>52</v>
      </c>
      <c r="P395" t="s">
        <v>35</v>
      </c>
      <c r="Q395">
        <v>549</v>
      </c>
      <c r="R395">
        <v>452</v>
      </c>
    </row>
    <row r="396" spans="1:18">
      <c r="A396" t="s">
        <v>471</v>
      </c>
      <c r="B396" t="s">
        <v>68</v>
      </c>
      <c r="C396" t="s">
        <v>81</v>
      </c>
      <c r="D396" s="8">
        <v>2020</v>
      </c>
      <c r="E396" s="29">
        <v>6</v>
      </c>
      <c r="F396">
        <v>6</v>
      </c>
      <c r="G396">
        <v>64</v>
      </c>
      <c r="H396">
        <v>92</v>
      </c>
      <c r="I396">
        <v>48</v>
      </c>
      <c r="J396">
        <v>6.5</v>
      </c>
      <c r="K396" t="s">
        <v>82</v>
      </c>
      <c r="L396" t="s">
        <v>59</v>
      </c>
      <c r="M396" t="s">
        <v>47</v>
      </c>
      <c r="N396" t="s">
        <v>24</v>
      </c>
      <c r="O396" t="s">
        <v>87</v>
      </c>
      <c r="P396" t="s">
        <v>35</v>
      </c>
      <c r="Q396">
        <v>299</v>
      </c>
      <c r="R396">
        <v>285</v>
      </c>
    </row>
    <row r="397" spans="1:18">
      <c r="A397" t="s">
        <v>472</v>
      </c>
      <c r="B397" t="s">
        <v>54</v>
      </c>
      <c r="C397" t="s">
        <v>55</v>
      </c>
      <c r="D397" s="8">
        <v>2020</v>
      </c>
      <c r="E397" s="29">
        <v>6</v>
      </c>
      <c r="F397">
        <v>12</v>
      </c>
      <c r="G397">
        <v>64</v>
      </c>
      <c r="H397">
        <v>100</v>
      </c>
      <c r="I397">
        <v>12</v>
      </c>
      <c r="J397">
        <v>6.67</v>
      </c>
      <c r="K397" t="s">
        <v>56</v>
      </c>
      <c r="L397" t="s">
        <v>31</v>
      </c>
      <c r="M397" t="s">
        <v>86</v>
      </c>
      <c r="N397" t="s">
        <v>33</v>
      </c>
      <c r="O397" t="s">
        <v>34</v>
      </c>
      <c r="P397" t="s">
        <v>35</v>
      </c>
      <c r="Q397">
        <v>549</v>
      </c>
      <c r="R397">
        <v>536</v>
      </c>
    </row>
    <row r="398" spans="1:18">
      <c r="A398" t="s">
        <v>473</v>
      </c>
      <c r="B398" t="s">
        <v>77</v>
      </c>
      <c r="C398" t="s">
        <v>78</v>
      </c>
      <c r="D398" s="8">
        <v>2021</v>
      </c>
      <c r="E398" s="29">
        <v>5</v>
      </c>
      <c r="F398">
        <v>8</v>
      </c>
      <c r="G398">
        <v>64</v>
      </c>
      <c r="H398">
        <v>93</v>
      </c>
      <c r="I398">
        <v>12</v>
      </c>
      <c r="J398">
        <v>6.4</v>
      </c>
      <c r="K398" t="s">
        <v>79</v>
      </c>
      <c r="L398" t="s">
        <v>59</v>
      </c>
      <c r="M398" t="s">
        <v>47</v>
      </c>
      <c r="N398" t="s">
        <v>24</v>
      </c>
      <c r="O398" t="s">
        <v>25</v>
      </c>
      <c r="P398" t="s">
        <v>26</v>
      </c>
      <c r="Q398">
        <v>699</v>
      </c>
      <c r="R398">
        <v>573</v>
      </c>
    </row>
    <row r="399" spans="1:18">
      <c r="A399" t="s">
        <v>474</v>
      </c>
      <c r="B399" t="s">
        <v>73</v>
      </c>
      <c r="C399" t="s">
        <v>105</v>
      </c>
      <c r="D399" s="8">
        <v>2023</v>
      </c>
      <c r="E399" s="29">
        <v>3</v>
      </c>
      <c r="F399">
        <v>6</v>
      </c>
      <c r="G399">
        <v>256</v>
      </c>
      <c r="H399">
        <v>81</v>
      </c>
      <c r="I399">
        <v>108</v>
      </c>
      <c r="J399">
        <v>6.5</v>
      </c>
      <c r="K399" t="s">
        <v>75</v>
      </c>
      <c r="L399" t="s">
        <v>31</v>
      </c>
      <c r="M399" t="s">
        <v>60</v>
      </c>
      <c r="N399" t="s">
        <v>33</v>
      </c>
      <c r="O399" t="s">
        <v>34</v>
      </c>
      <c r="P399" t="s">
        <v>26</v>
      </c>
      <c r="Q399">
        <v>899</v>
      </c>
      <c r="R399">
        <v>829</v>
      </c>
    </row>
    <row r="400" spans="1:18">
      <c r="A400" t="s">
        <v>475</v>
      </c>
      <c r="B400" t="s">
        <v>37</v>
      </c>
      <c r="C400" t="s">
        <v>38</v>
      </c>
      <c r="D400" s="8">
        <v>2020</v>
      </c>
      <c r="E400" s="29">
        <v>6</v>
      </c>
      <c r="F400">
        <v>4</v>
      </c>
      <c r="G400">
        <v>64</v>
      </c>
      <c r="H400">
        <v>79</v>
      </c>
      <c r="I400">
        <v>48</v>
      </c>
      <c r="J400">
        <v>6.2</v>
      </c>
      <c r="K400" t="s">
        <v>39</v>
      </c>
      <c r="L400" t="s">
        <v>31</v>
      </c>
      <c r="M400" t="s">
        <v>32</v>
      </c>
      <c r="N400" t="s">
        <v>33</v>
      </c>
      <c r="O400" t="s">
        <v>25</v>
      </c>
      <c r="P400" t="s">
        <v>35</v>
      </c>
      <c r="Q400">
        <v>599</v>
      </c>
      <c r="R400">
        <v>536</v>
      </c>
    </row>
    <row r="401" spans="1:18">
      <c r="A401" t="s">
        <v>476</v>
      </c>
      <c r="B401" t="s">
        <v>77</v>
      </c>
      <c r="C401" t="s">
        <v>78</v>
      </c>
      <c r="D401" s="8">
        <v>2020</v>
      </c>
      <c r="E401" s="29">
        <v>6</v>
      </c>
      <c r="F401">
        <v>12</v>
      </c>
      <c r="G401">
        <v>128</v>
      </c>
      <c r="H401">
        <v>85</v>
      </c>
      <c r="I401">
        <v>108</v>
      </c>
      <c r="J401">
        <v>6.5</v>
      </c>
      <c r="K401" t="s">
        <v>79</v>
      </c>
      <c r="L401" t="s">
        <v>31</v>
      </c>
      <c r="M401" t="s">
        <v>23</v>
      </c>
      <c r="N401" t="s">
        <v>33</v>
      </c>
      <c r="O401" t="s">
        <v>61</v>
      </c>
      <c r="P401" t="s">
        <v>35</v>
      </c>
      <c r="Q401">
        <v>699</v>
      </c>
      <c r="R401">
        <v>637</v>
      </c>
    </row>
    <row r="402" spans="1:18">
      <c r="A402" t="s">
        <v>477</v>
      </c>
      <c r="B402" t="s">
        <v>64</v>
      </c>
      <c r="C402" t="s">
        <v>65</v>
      </c>
      <c r="D402" s="8">
        <v>2023</v>
      </c>
      <c r="E402" s="29">
        <v>3</v>
      </c>
      <c r="F402">
        <v>8</v>
      </c>
      <c r="G402">
        <v>512</v>
      </c>
      <c r="H402">
        <v>88</v>
      </c>
      <c r="I402">
        <v>108</v>
      </c>
      <c r="J402">
        <v>6.7</v>
      </c>
      <c r="K402" t="s">
        <v>66</v>
      </c>
      <c r="L402" t="s">
        <v>57</v>
      </c>
      <c r="M402" t="s">
        <v>60</v>
      </c>
      <c r="N402" t="s">
        <v>24</v>
      </c>
      <c r="O402" t="s">
        <v>25</v>
      </c>
      <c r="P402" t="s">
        <v>26</v>
      </c>
      <c r="Q402">
        <v>499</v>
      </c>
      <c r="R402">
        <v>363</v>
      </c>
    </row>
    <row r="403" spans="1:18">
      <c r="A403" t="s">
        <v>478</v>
      </c>
      <c r="B403" t="s">
        <v>44</v>
      </c>
      <c r="C403" t="s">
        <v>45</v>
      </c>
      <c r="D403" s="8">
        <v>2023</v>
      </c>
      <c r="E403" s="29">
        <v>3</v>
      </c>
      <c r="F403">
        <v>6</v>
      </c>
      <c r="G403">
        <v>128</v>
      </c>
      <c r="H403">
        <v>85</v>
      </c>
      <c r="I403">
        <v>48</v>
      </c>
      <c r="J403">
        <v>6.2</v>
      </c>
      <c r="K403" t="s">
        <v>46</v>
      </c>
      <c r="L403" t="s">
        <v>59</v>
      </c>
      <c r="M403" t="s">
        <v>86</v>
      </c>
      <c r="N403" t="s">
        <v>33</v>
      </c>
      <c r="O403" t="s">
        <v>41</v>
      </c>
      <c r="P403" t="s">
        <v>35</v>
      </c>
      <c r="Q403">
        <v>799</v>
      </c>
      <c r="R403">
        <v>623</v>
      </c>
    </row>
    <row r="404" spans="1:18">
      <c r="A404" t="s">
        <v>479</v>
      </c>
      <c r="B404" t="s">
        <v>44</v>
      </c>
      <c r="C404" t="s">
        <v>45</v>
      </c>
      <c r="D404" s="8">
        <v>2021</v>
      </c>
      <c r="E404" s="29">
        <v>5</v>
      </c>
      <c r="F404">
        <v>12</v>
      </c>
      <c r="G404">
        <v>256</v>
      </c>
      <c r="H404">
        <v>82</v>
      </c>
      <c r="I404">
        <v>64</v>
      </c>
      <c r="J404">
        <v>6.78</v>
      </c>
      <c r="K404" t="s">
        <v>46</v>
      </c>
      <c r="L404" t="s">
        <v>57</v>
      </c>
      <c r="M404" t="s">
        <v>40</v>
      </c>
      <c r="N404" t="s">
        <v>24</v>
      </c>
      <c r="O404" t="s">
        <v>84</v>
      </c>
      <c r="P404" t="s">
        <v>35</v>
      </c>
      <c r="Q404">
        <v>799</v>
      </c>
      <c r="R404">
        <v>460</v>
      </c>
    </row>
    <row r="405" spans="1:18">
      <c r="A405" t="s">
        <v>480</v>
      </c>
      <c r="B405" t="s">
        <v>77</v>
      </c>
      <c r="C405" t="s">
        <v>78</v>
      </c>
      <c r="D405" s="8">
        <v>2021</v>
      </c>
      <c r="E405" s="29">
        <v>5</v>
      </c>
      <c r="F405">
        <v>8</v>
      </c>
      <c r="G405">
        <v>256</v>
      </c>
      <c r="H405">
        <v>89</v>
      </c>
      <c r="I405">
        <v>108</v>
      </c>
      <c r="J405">
        <v>6.2</v>
      </c>
      <c r="K405" t="s">
        <v>79</v>
      </c>
      <c r="L405" t="s">
        <v>31</v>
      </c>
      <c r="M405" t="s">
        <v>47</v>
      </c>
      <c r="N405" t="s">
        <v>24</v>
      </c>
      <c r="O405" t="s">
        <v>34</v>
      </c>
      <c r="P405" t="s">
        <v>35</v>
      </c>
      <c r="Q405">
        <v>699</v>
      </c>
      <c r="R405">
        <v>677</v>
      </c>
    </row>
    <row r="406" spans="1:18">
      <c r="A406" t="s">
        <v>481</v>
      </c>
      <c r="B406" t="s">
        <v>73</v>
      </c>
      <c r="C406" t="s">
        <v>74</v>
      </c>
      <c r="D406" s="8">
        <v>2024</v>
      </c>
      <c r="E406" s="29">
        <v>2</v>
      </c>
      <c r="F406">
        <v>6</v>
      </c>
      <c r="G406">
        <v>64</v>
      </c>
      <c r="H406">
        <v>79</v>
      </c>
      <c r="I406">
        <v>64</v>
      </c>
      <c r="J406">
        <v>6.7</v>
      </c>
      <c r="K406" t="s">
        <v>75</v>
      </c>
      <c r="L406" t="s">
        <v>59</v>
      </c>
      <c r="M406" t="s">
        <v>86</v>
      </c>
      <c r="N406" t="s">
        <v>33</v>
      </c>
      <c r="O406" t="s">
        <v>48</v>
      </c>
      <c r="P406" t="s">
        <v>26</v>
      </c>
      <c r="Q406">
        <v>799</v>
      </c>
      <c r="R406">
        <v>648</v>
      </c>
    </row>
    <row r="407" spans="1:18">
      <c r="A407" t="s">
        <v>482</v>
      </c>
      <c r="B407" t="s">
        <v>37</v>
      </c>
      <c r="C407" t="s">
        <v>38</v>
      </c>
      <c r="D407" s="8">
        <v>2023</v>
      </c>
      <c r="E407" s="29">
        <v>3</v>
      </c>
      <c r="F407">
        <v>4</v>
      </c>
      <c r="G407">
        <v>64</v>
      </c>
      <c r="H407">
        <v>80</v>
      </c>
      <c r="I407">
        <v>48</v>
      </c>
      <c r="J407">
        <v>6.2</v>
      </c>
      <c r="K407" t="s">
        <v>39</v>
      </c>
      <c r="L407" t="s">
        <v>31</v>
      </c>
      <c r="M407" t="s">
        <v>23</v>
      </c>
      <c r="N407" t="s">
        <v>24</v>
      </c>
      <c r="O407" t="s">
        <v>34</v>
      </c>
      <c r="P407" t="s">
        <v>26</v>
      </c>
      <c r="Q407">
        <v>599</v>
      </c>
      <c r="R407">
        <v>547</v>
      </c>
    </row>
    <row r="408" spans="1:18">
      <c r="A408" t="s">
        <v>483</v>
      </c>
      <c r="B408" t="s">
        <v>73</v>
      </c>
      <c r="C408" t="s">
        <v>74</v>
      </c>
      <c r="D408" s="8">
        <v>2020</v>
      </c>
      <c r="E408" s="29">
        <v>6</v>
      </c>
      <c r="F408">
        <v>12</v>
      </c>
      <c r="G408">
        <v>256</v>
      </c>
      <c r="H408">
        <v>99</v>
      </c>
      <c r="I408">
        <v>108</v>
      </c>
      <c r="J408">
        <v>6.67</v>
      </c>
      <c r="K408" t="s">
        <v>75</v>
      </c>
      <c r="L408" t="s">
        <v>22</v>
      </c>
      <c r="M408" t="s">
        <v>23</v>
      </c>
      <c r="N408" t="s">
        <v>24</v>
      </c>
      <c r="O408" t="s">
        <v>61</v>
      </c>
      <c r="P408" t="s">
        <v>26</v>
      </c>
      <c r="Q408">
        <v>799</v>
      </c>
      <c r="R408">
        <v>565</v>
      </c>
    </row>
    <row r="409" spans="1:18">
      <c r="A409" t="s">
        <v>484</v>
      </c>
      <c r="B409" t="s">
        <v>19</v>
      </c>
      <c r="C409" t="s">
        <v>20</v>
      </c>
      <c r="D409" s="8">
        <v>2024</v>
      </c>
      <c r="E409" s="29">
        <v>2</v>
      </c>
      <c r="F409">
        <v>4</v>
      </c>
      <c r="G409">
        <v>512</v>
      </c>
      <c r="H409">
        <v>88</v>
      </c>
      <c r="I409">
        <v>108</v>
      </c>
      <c r="J409">
        <v>6.1</v>
      </c>
      <c r="K409" t="s">
        <v>21</v>
      </c>
      <c r="L409" t="s">
        <v>22</v>
      </c>
      <c r="M409" t="s">
        <v>23</v>
      </c>
      <c r="N409" t="s">
        <v>33</v>
      </c>
      <c r="O409" t="s">
        <v>34</v>
      </c>
      <c r="P409" t="s">
        <v>26</v>
      </c>
      <c r="Q409">
        <v>599</v>
      </c>
      <c r="R409">
        <v>480</v>
      </c>
    </row>
    <row r="410" spans="1:18">
      <c r="A410" t="s">
        <v>485</v>
      </c>
      <c r="B410" t="s">
        <v>28</v>
      </c>
      <c r="C410" t="s">
        <v>29</v>
      </c>
      <c r="D410" s="8">
        <v>2021</v>
      </c>
      <c r="E410" s="29">
        <v>5</v>
      </c>
      <c r="F410">
        <v>6</v>
      </c>
      <c r="G410">
        <v>128</v>
      </c>
      <c r="H410">
        <v>84</v>
      </c>
      <c r="I410">
        <v>50</v>
      </c>
      <c r="J410">
        <v>6.1</v>
      </c>
      <c r="K410" t="s">
        <v>30</v>
      </c>
      <c r="L410" t="s">
        <v>31</v>
      </c>
      <c r="M410" t="s">
        <v>32</v>
      </c>
      <c r="N410" t="s">
        <v>33</v>
      </c>
      <c r="O410" t="s">
        <v>48</v>
      </c>
      <c r="P410" t="s">
        <v>35</v>
      </c>
      <c r="Q410">
        <v>599</v>
      </c>
      <c r="R410">
        <v>545</v>
      </c>
    </row>
    <row r="411" spans="1:18">
      <c r="A411" t="s">
        <v>486</v>
      </c>
      <c r="B411" t="s">
        <v>28</v>
      </c>
      <c r="C411" t="s">
        <v>29</v>
      </c>
      <c r="D411" s="8">
        <v>2020</v>
      </c>
      <c r="E411" s="29">
        <v>6</v>
      </c>
      <c r="F411">
        <v>12</v>
      </c>
      <c r="G411">
        <v>512</v>
      </c>
      <c r="H411">
        <v>84</v>
      </c>
      <c r="I411">
        <v>108</v>
      </c>
      <c r="J411">
        <v>6.4</v>
      </c>
      <c r="K411" t="s">
        <v>30</v>
      </c>
      <c r="L411" t="s">
        <v>22</v>
      </c>
      <c r="M411" t="s">
        <v>60</v>
      </c>
      <c r="N411" t="s">
        <v>33</v>
      </c>
      <c r="O411" t="s">
        <v>61</v>
      </c>
      <c r="P411" t="s">
        <v>35</v>
      </c>
      <c r="Q411">
        <v>599</v>
      </c>
      <c r="R411">
        <v>494</v>
      </c>
    </row>
    <row r="412" spans="1:18">
      <c r="A412" t="s">
        <v>487</v>
      </c>
      <c r="B412" t="s">
        <v>19</v>
      </c>
      <c r="C412" t="s">
        <v>20</v>
      </c>
      <c r="D412" s="8">
        <v>2020</v>
      </c>
      <c r="E412" s="29">
        <v>6</v>
      </c>
      <c r="F412">
        <v>12</v>
      </c>
      <c r="G412">
        <v>512</v>
      </c>
      <c r="H412">
        <v>100</v>
      </c>
      <c r="I412">
        <v>12</v>
      </c>
      <c r="J412">
        <v>6.2</v>
      </c>
      <c r="K412" t="s">
        <v>21</v>
      </c>
      <c r="L412" t="s">
        <v>59</v>
      </c>
      <c r="M412" t="s">
        <v>23</v>
      </c>
      <c r="N412" t="s">
        <v>24</v>
      </c>
      <c r="O412" t="s">
        <v>41</v>
      </c>
      <c r="P412" t="s">
        <v>35</v>
      </c>
      <c r="Q412">
        <v>599</v>
      </c>
      <c r="R412">
        <v>589</v>
      </c>
    </row>
    <row r="413" spans="1:18">
      <c r="A413" t="s">
        <v>488</v>
      </c>
      <c r="B413" t="s">
        <v>73</v>
      </c>
      <c r="C413" t="s">
        <v>105</v>
      </c>
      <c r="D413" s="8">
        <v>2020</v>
      </c>
      <c r="E413" s="29">
        <v>6</v>
      </c>
      <c r="F413">
        <v>6</v>
      </c>
      <c r="G413">
        <v>256</v>
      </c>
      <c r="H413">
        <v>100</v>
      </c>
      <c r="I413">
        <v>50</v>
      </c>
      <c r="J413">
        <v>6.7</v>
      </c>
      <c r="K413" t="s">
        <v>75</v>
      </c>
      <c r="L413" t="s">
        <v>22</v>
      </c>
      <c r="M413" t="s">
        <v>60</v>
      </c>
      <c r="N413" t="s">
        <v>33</v>
      </c>
      <c r="O413" t="s">
        <v>84</v>
      </c>
      <c r="P413" t="s">
        <v>35</v>
      </c>
      <c r="Q413">
        <v>899</v>
      </c>
      <c r="R413">
        <v>637</v>
      </c>
    </row>
    <row r="414" spans="1:18">
      <c r="A414" t="s">
        <v>489</v>
      </c>
      <c r="B414" t="s">
        <v>68</v>
      </c>
      <c r="C414" t="s">
        <v>69</v>
      </c>
      <c r="D414" s="8">
        <v>2020</v>
      </c>
      <c r="E414" s="29">
        <v>6</v>
      </c>
      <c r="F414">
        <v>6</v>
      </c>
      <c r="G414">
        <v>64</v>
      </c>
      <c r="H414">
        <v>75</v>
      </c>
      <c r="I414">
        <v>12</v>
      </c>
      <c r="J414">
        <v>6.7</v>
      </c>
      <c r="K414" t="s">
        <v>70</v>
      </c>
      <c r="L414" t="s">
        <v>22</v>
      </c>
      <c r="M414" t="s">
        <v>23</v>
      </c>
      <c r="N414" t="s">
        <v>24</v>
      </c>
      <c r="O414" t="s">
        <v>48</v>
      </c>
      <c r="P414" t="s">
        <v>35</v>
      </c>
      <c r="Q414">
        <v>399</v>
      </c>
      <c r="R414">
        <v>300</v>
      </c>
    </row>
    <row r="415" spans="1:18">
      <c r="A415" t="s">
        <v>490</v>
      </c>
      <c r="B415" t="s">
        <v>28</v>
      </c>
      <c r="C415" t="s">
        <v>29</v>
      </c>
      <c r="D415" s="8">
        <v>2021</v>
      </c>
      <c r="E415" s="29">
        <v>5</v>
      </c>
      <c r="F415">
        <v>12</v>
      </c>
      <c r="G415">
        <v>64</v>
      </c>
      <c r="H415">
        <v>82</v>
      </c>
      <c r="I415">
        <v>64</v>
      </c>
      <c r="J415">
        <v>6.1</v>
      </c>
      <c r="K415" t="s">
        <v>30</v>
      </c>
      <c r="L415" t="s">
        <v>22</v>
      </c>
      <c r="M415" t="s">
        <v>86</v>
      </c>
      <c r="N415" t="s">
        <v>24</v>
      </c>
      <c r="O415" t="s">
        <v>61</v>
      </c>
      <c r="P415" t="s">
        <v>35</v>
      </c>
      <c r="Q415">
        <v>599</v>
      </c>
      <c r="R415">
        <v>441</v>
      </c>
    </row>
    <row r="416" spans="1:18">
      <c r="A416" t="s">
        <v>491</v>
      </c>
      <c r="B416" t="s">
        <v>28</v>
      </c>
      <c r="C416" t="s">
        <v>29</v>
      </c>
      <c r="D416" s="8">
        <v>2022</v>
      </c>
      <c r="E416" s="29">
        <v>4</v>
      </c>
      <c r="F416">
        <v>8</v>
      </c>
      <c r="G416">
        <v>512</v>
      </c>
      <c r="H416">
        <v>94</v>
      </c>
      <c r="I416">
        <v>50</v>
      </c>
      <c r="J416">
        <v>6.78</v>
      </c>
      <c r="K416" t="s">
        <v>30</v>
      </c>
      <c r="L416" t="s">
        <v>59</v>
      </c>
      <c r="M416" t="s">
        <v>86</v>
      </c>
      <c r="N416" t="s">
        <v>33</v>
      </c>
      <c r="O416" t="s">
        <v>87</v>
      </c>
      <c r="P416" t="s">
        <v>26</v>
      </c>
      <c r="Q416">
        <v>599</v>
      </c>
      <c r="R416">
        <v>589</v>
      </c>
    </row>
    <row r="417" spans="1:18">
      <c r="A417" t="s">
        <v>492</v>
      </c>
      <c r="B417" t="s">
        <v>37</v>
      </c>
      <c r="C417" t="s">
        <v>38</v>
      </c>
      <c r="D417" s="8">
        <v>2023</v>
      </c>
      <c r="E417" s="29">
        <v>3</v>
      </c>
      <c r="F417">
        <v>8</v>
      </c>
      <c r="G417">
        <v>128</v>
      </c>
      <c r="H417">
        <v>87</v>
      </c>
      <c r="I417">
        <v>50</v>
      </c>
      <c r="J417">
        <v>6.1</v>
      </c>
      <c r="K417" t="s">
        <v>39</v>
      </c>
      <c r="L417" t="s">
        <v>59</v>
      </c>
      <c r="M417" t="s">
        <v>40</v>
      </c>
      <c r="N417" t="s">
        <v>24</v>
      </c>
      <c r="O417" t="s">
        <v>87</v>
      </c>
      <c r="P417" t="s">
        <v>26</v>
      </c>
      <c r="Q417">
        <v>599</v>
      </c>
      <c r="R417">
        <v>489</v>
      </c>
    </row>
    <row r="418" spans="1:18">
      <c r="A418" t="s">
        <v>493</v>
      </c>
      <c r="B418" t="s">
        <v>64</v>
      </c>
      <c r="C418" t="s">
        <v>65</v>
      </c>
      <c r="D418" s="8">
        <v>2023</v>
      </c>
      <c r="E418" s="29">
        <v>3</v>
      </c>
      <c r="F418">
        <v>6</v>
      </c>
      <c r="G418">
        <v>512</v>
      </c>
      <c r="H418">
        <v>76</v>
      </c>
      <c r="I418">
        <v>48</v>
      </c>
      <c r="J418">
        <v>6.2</v>
      </c>
      <c r="K418" t="s">
        <v>66</v>
      </c>
      <c r="L418" t="s">
        <v>59</v>
      </c>
      <c r="M418" t="s">
        <v>86</v>
      </c>
      <c r="N418" t="s">
        <v>33</v>
      </c>
      <c r="O418" t="s">
        <v>41</v>
      </c>
      <c r="P418" t="s">
        <v>26</v>
      </c>
      <c r="Q418">
        <v>499</v>
      </c>
      <c r="R418">
        <v>483</v>
      </c>
    </row>
    <row r="419" spans="1:18">
      <c r="A419" t="s">
        <v>494</v>
      </c>
      <c r="B419" t="s">
        <v>28</v>
      </c>
      <c r="C419" t="s">
        <v>29</v>
      </c>
      <c r="D419" s="8">
        <v>2023</v>
      </c>
      <c r="E419" s="29">
        <v>3</v>
      </c>
      <c r="F419">
        <v>4</v>
      </c>
      <c r="G419">
        <v>64</v>
      </c>
      <c r="H419">
        <v>86</v>
      </c>
      <c r="I419">
        <v>48</v>
      </c>
      <c r="J419">
        <v>6.7</v>
      </c>
      <c r="K419" t="s">
        <v>30</v>
      </c>
      <c r="L419" t="s">
        <v>59</v>
      </c>
      <c r="M419" t="s">
        <v>60</v>
      </c>
      <c r="N419" t="s">
        <v>33</v>
      </c>
      <c r="O419" t="s">
        <v>41</v>
      </c>
      <c r="P419" t="s">
        <v>35</v>
      </c>
      <c r="Q419">
        <v>599</v>
      </c>
      <c r="R419">
        <v>489</v>
      </c>
    </row>
    <row r="420" spans="1:18">
      <c r="A420" t="s">
        <v>495</v>
      </c>
      <c r="B420" t="s">
        <v>77</v>
      </c>
      <c r="C420" t="s">
        <v>78</v>
      </c>
      <c r="D420" s="8">
        <v>2021</v>
      </c>
      <c r="E420" s="29">
        <v>5</v>
      </c>
      <c r="F420">
        <v>12</v>
      </c>
      <c r="G420">
        <v>512</v>
      </c>
      <c r="H420">
        <v>76</v>
      </c>
      <c r="I420">
        <v>108</v>
      </c>
      <c r="J420">
        <v>6.78</v>
      </c>
      <c r="K420" t="s">
        <v>79</v>
      </c>
      <c r="L420" t="s">
        <v>31</v>
      </c>
      <c r="M420" t="s">
        <v>23</v>
      </c>
      <c r="N420" t="s">
        <v>24</v>
      </c>
      <c r="O420" t="s">
        <v>52</v>
      </c>
      <c r="P420" t="s">
        <v>35</v>
      </c>
      <c r="Q420">
        <v>699</v>
      </c>
      <c r="R420">
        <v>689</v>
      </c>
    </row>
    <row r="421" spans="1:18">
      <c r="A421" t="s">
        <v>496</v>
      </c>
      <c r="B421" t="s">
        <v>68</v>
      </c>
      <c r="C421" t="s">
        <v>69</v>
      </c>
      <c r="D421" s="8">
        <v>2021</v>
      </c>
      <c r="E421" s="29">
        <v>5</v>
      </c>
      <c r="F421">
        <v>6</v>
      </c>
      <c r="G421">
        <v>256</v>
      </c>
      <c r="H421">
        <v>83</v>
      </c>
      <c r="I421">
        <v>50</v>
      </c>
      <c r="J421">
        <v>6.2</v>
      </c>
      <c r="K421" t="s">
        <v>70</v>
      </c>
      <c r="L421" t="s">
        <v>59</v>
      </c>
      <c r="M421" t="s">
        <v>32</v>
      </c>
      <c r="N421" t="s">
        <v>33</v>
      </c>
      <c r="O421" t="s">
        <v>87</v>
      </c>
      <c r="P421" t="s">
        <v>35</v>
      </c>
      <c r="Q421">
        <v>399</v>
      </c>
      <c r="R421">
        <v>386</v>
      </c>
    </row>
    <row r="422" spans="1:18">
      <c r="A422" t="s">
        <v>497</v>
      </c>
      <c r="B422" t="s">
        <v>68</v>
      </c>
      <c r="C422" t="s">
        <v>69</v>
      </c>
      <c r="D422" s="8">
        <v>2022</v>
      </c>
      <c r="E422" s="29">
        <v>4</v>
      </c>
      <c r="F422">
        <v>12</v>
      </c>
      <c r="G422">
        <v>64</v>
      </c>
      <c r="H422">
        <v>79</v>
      </c>
      <c r="I422">
        <v>48</v>
      </c>
      <c r="J422">
        <v>6.2</v>
      </c>
      <c r="K422" t="s">
        <v>70</v>
      </c>
      <c r="L422" t="s">
        <v>31</v>
      </c>
      <c r="M422" t="s">
        <v>32</v>
      </c>
      <c r="N422" t="s">
        <v>33</v>
      </c>
      <c r="O422" t="s">
        <v>61</v>
      </c>
      <c r="P422" t="s">
        <v>35</v>
      </c>
      <c r="Q422">
        <v>399</v>
      </c>
      <c r="R422">
        <v>389</v>
      </c>
    </row>
    <row r="423" spans="1:18">
      <c r="A423" t="s">
        <v>498</v>
      </c>
      <c r="B423" t="s">
        <v>54</v>
      </c>
      <c r="C423" t="s">
        <v>55</v>
      </c>
      <c r="D423" s="8">
        <v>2023</v>
      </c>
      <c r="E423" s="29">
        <v>3</v>
      </c>
      <c r="F423">
        <v>8</v>
      </c>
      <c r="G423">
        <v>256</v>
      </c>
      <c r="H423">
        <v>93</v>
      </c>
      <c r="I423">
        <v>50</v>
      </c>
      <c r="J423">
        <v>6.1</v>
      </c>
      <c r="K423" t="s">
        <v>56</v>
      </c>
      <c r="L423" t="s">
        <v>59</v>
      </c>
      <c r="M423" t="s">
        <v>40</v>
      </c>
      <c r="N423" t="s">
        <v>24</v>
      </c>
      <c r="O423" t="s">
        <v>61</v>
      </c>
      <c r="P423" t="s">
        <v>35</v>
      </c>
      <c r="Q423">
        <v>549</v>
      </c>
      <c r="R423">
        <v>497</v>
      </c>
    </row>
    <row r="424" spans="1:18">
      <c r="A424" t="s">
        <v>499</v>
      </c>
      <c r="B424" t="s">
        <v>28</v>
      </c>
      <c r="C424" t="s">
        <v>29</v>
      </c>
      <c r="D424" s="8">
        <v>2022</v>
      </c>
      <c r="E424" s="29">
        <v>4</v>
      </c>
      <c r="F424">
        <v>12</v>
      </c>
      <c r="G424">
        <v>128</v>
      </c>
      <c r="H424">
        <v>80</v>
      </c>
      <c r="I424">
        <v>48</v>
      </c>
      <c r="J424">
        <v>6.4</v>
      </c>
      <c r="K424" t="s">
        <v>30</v>
      </c>
      <c r="L424" t="s">
        <v>57</v>
      </c>
      <c r="M424" t="s">
        <v>23</v>
      </c>
      <c r="N424" t="s">
        <v>33</v>
      </c>
      <c r="O424" t="s">
        <v>52</v>
      </c>
      <c r="P424" t="s">
        <v>35</v>
      </c>
      <c r="Q424">
        <v>599</v>
      </c>
      <c r="R424">
        <v>372</v>
      </c>
    </row>
    <row r="425" spans="1:18">
      <c r="A425" t="s">
        <v>500</v>
      </c>
      <c r="B425" t="s">
        <v>64</v>
      </c>
      <c r="C425" t="s">
        <v>65</v>
      </c>
      <c r="D425" s="8">
        <v>2023</v>
      </c>
      <c r="E425" s="29">
        <v>3</v>
      </c>
      <c r="F425">
        <v>4</v>
      </c>
      <c r="G425">
        <v>256</v>
      </c>
      <c r="H425">
        <v>88</v>
      </c>
      <c r="I425">
        <v>108</v>
      </c>
      <c r="J425">
        <v>6.78</v>
      </c>
      <c r="K425" t="s">
        <v>66</v>
      </c>
      <c r="L425" t="s">
        <v>57</v>
      </c>
      <c r="M425" t="s">
        <v>47</v>
      </c>
      <c r="N425" t="s">
        <v>24</v>
      </c>
      <c r="O425" t="s">
        <v>41</v>
      </c>
      <c r="P425" t="s">
        <v>35</v>
      </c>
      <c r="Q425">
        <v>499</v>
      </c>
      <c r="R425">
        <v>329</v>
      </c>
    </row>
    <row r="426" spans="1:18">
      <c r="A426" t="s">
        <v>501</v>
      </c>
      <c r="B426" t="s">
        <v>77</v>
      </c>
      <c r="C426" t="s">
        <v>78</v>
      </c>
      <c r="D426" s="8">
        <v>2023</v>
      </c>
      <c r="E426" s="29">
        <v>3</v>
      </c>
      <c r="F426">
        <v>12</v>
      </c>
      <c r="G426">
        <v>512</v>
      </c>
      <c r="H426">
        <v>75</v>
      </c>
      <c r="I426">
        <v>64</v>
      </c>
      <c r="J426">
        <v>6.2</v>
      </c>
      <c r="K426" t="s">
        <v>79</v>
      </c>
      <c r="L426" t="s">
        <v>57</v>
      </c>
      <c r="M426" t="s">
        <v>40</v>
      </c>
      <c r="N426" t="s">
        <v>24</v>
      </c>
      <c r="O426" t="s">
        <v>52</v>
      </c>
      <c r="P426" t="s">
        <v>26</v>
      </c>
      <c r="Q426">
        <v>699</v>
      </c>
      <c r="R426">
        <v>431</v>
      </c>
    </row>
    <row r="427" spans="1:18">
      <c r="A427" t="s">
        <v>502</v>
      </c>
      <c r="B427" t="s">
        <v>37</v>
      </c>
      <c r="C427" t="s">
        <v>38</v>
      </c>
      <c r="D427" s="8">
        <v>2021</v>
      </c>
      <c r="E427" s="29">
        <v>5</v>
      </c>
      <c r="F427">
        <v>12</v>
      </c>
      <c r="G427">
        <v>512</v>
      </c>
      <c r="H427">
        <v>91</v>
      </c>
      <c r="I427">
        <v>48</v>
      </c>
      <c r="J427">
        <v>6.1</v>
      </c>
      <c r="K427" t="s">
        <v>39</v>
      </c>
      <c r="L427" t="s">
        <v>31</v>
      </c>
      <c r="M427" t="s">
        <v>32</v>
      </c>
      <c r="N427" t="s">
        <v>33</v>
      </c>
      <c r="O427" t="s">
        <v>48</v>
      </c>
      <c r="P427" t="s">
        <v>35</v>
      </c>
      <c r="Q427">
        <v>599</v>
      </c>
      <c r="R427">
        <v>589</v>
      </c>
    </row>
    <row r="428" spans="1:18">
      <c r="A428" t="s">
        <v>503</v>
      </c>
      <c r="B428" t="s">
        <v>77</v>
      </c>
      <c r="C428" t="s">
        <v>78</v>
      </c>
      <c r="D428" s="8">
        <v>2021</v>
      </c>
      <c r="E428" s="29">
        <v>5</v>
      </c>
      <c r="F428">
        <v>12</v>
      </c>
      <c r="G428">
        <v>128</v>
      </c>
      <c r="H428">
        <v>85</v>
      </c>
      <c r="I428">
        <v>50</v>
      </c>
      <c r="J428">
        <v>6.2</v>
      </c>
      <c r="K428" t="s">
        <v>79</v>
      </c>
      <c r="L428" t="s">
        <v>59</v>
      </c>
      <c r="M428" t="s">
        <v>86</v>
      </c>
      <c r="N428" t="s">
        <v>24</v>
      </c>
      <c r="O428" t="s">
        <v>41</v>
      </c>
      <c r="P428" t="s">
        <v>35</v>
      </c>
      <c r="Q428">
        <v>699</v>
      </c>
      <c r="R428">
        <v>577</v>
      </c>
    </row>
    <row r="429" spans="1:18">
      <c r="A429" t="s">
        <v>504</v>
      </c>
      <c r="B429" t="s">
        <v>44</v>
      </c>
      <c r="C429" t="s">
        <v>45</v>
      </c>
      <c r="D429" s="8">
        <v>2022</v>
      </c>
      <c r="E429" s="29">
        <v>4</v>
      </c>
      <c r="F429">
        <v>6</v>
      </c>
      <c r="G429">
        <v>512</v>
      </c>
      <c r="H429">
        <v>96</v>
      </c>
      <c r="I429">
        <v>64</v>
      </c>
      <c r="J429">
        <v>6.1</v>
      </c>
      <c r="K429" t="s">
        <v>46</v>
      </c>
      <c r="L429" t="s">
        <v>22</v>
      </c>
      <c r="M429" t="s">
        <v>86</v>
      </c>
      <c r="N429" t="s">
        <v>33</v>
      </c>
      <c r="O429" t="s">
        <v>61</v>
      </c>
      <c r="P429" t="s">
        <v>26</v>
      </c>
      <c r="Q429">
        <v>799</v>
      </c>
      <c r="R429">
        <v>597</v>
      </c>
    </row>
    <row r="430" spans="1:18">
      <c r="A430" t="s">
        <v>505</v>
      </c>
      <c r="B430" t="s">
        <v>44</v>
      </c>
      <c r="C430" t="s">
        <v>45</v>
      </c>
      <c r="D430" s="8">
        <v>2023</v>
      </c>
      <c r="E430" s="29">
        <v>3</v>
      </c>
      <c r="F430">
        <v>12</v>
      </c>
      <c r="G430">
        <v>64</v>
      </c>
      <c r="H430">
        <v>83</v>
      </c>
      <c r="I430">
        <v>12</v>
      </c>
      <c r="J430">
        <v>6.5</v>
      </c>
      <c r="K430" t="s">
        <v>46</v>
      </c>
      <c r="L430" t="s">
        <v>59</v>
      </c>
      <c r="M430" t="s">
        <v>60</v>
      </c>
      <c r="N430" t="s">
        <v>24</v>
      </c>
      <c r="O430" t="s">
        <v>34</v>
      </c>
      <c r="P430" t="s">
        <v>26</v>
      </c>
      <c r="Q430">
        <v>799</v>
      </c>
      <c r="R430">
        <v>684</v>
      </c>
    </row>
    <row r="431" spans="1:18">
      <c r="A431" t="s">
        <v>506</v>
      </c>
      <c r="B431" t="s">
        <v>19</v>
      </c>
      <c r="C431" t="s">
        <v>20</v>
      </c>
      <c r="D431" s="8">
        <v>2022</v>
      </c>
      <c r="E431" s="29">
        <v>4</v>
      </c>
      <c r="F431">
        <v>6</v>
      </c>
      <c r="G431">
        <v>128</v>
      </c>
      <c r="H431">
        <v>96</v>
      </c>
      <c r="I431">
        <v>64</v>
      </c>
      <c r="J431">
        <v>6.4</v>
      </c>
      <c r="K431" t="s">
        <v>21</v>
      </c>
      <c r="L431" t="s">
        <v>31</v>
      </c>
      <c r="M431" t="s">
        <v>86</v>
      </c>
      <c r="N431" t="s">
        <v>33</v>
      </c>
      <c r="O431" t="s">
        <v>48</v>
      </c>
      <c r="P431" t="s">
        <v>35</v>
      </c>
      <c r="Q431">
        <v>599</v>
      </c>
      <c r="R431">
        <v>589</v>
      </c>
    </row>
    <row r="432" spans="1:18">
      <c r="A432" t="s">
        <v>507</v>
      </c>
      <c r="B432" t="s">
        <v>73</v>
      </c>
      <c r="C432" t="s">
        <v>105</v>
      </c>
      <c r="D432" s="8">
        <v>2022</v>
      </c>
      <c r="E432" s="29">
        <v>4</v>
      </c>
      <c r="F432">
        <v>4</v>
      </c>
      <c r="G432">
        <v>512</v>
      </c>
      <c r="H432">
        <v>96</v>
      </c>
      <c r="I432">
        <v>64</v>
      </c>
      <c r="J432">
        <v>6.1</v>
      </c>
      <c r="K432" t="s">
        <v>75</v>
      </c>
      <c r="L432" t="s">
        <v>31</v>
      </c>
      <c r="M432" t="s">
        <v>23</v>
      </c>
      <c r="N432" t="s">
        <v>24</v>
      </c>
      <c r="O432" t="s">
        <v>34</v>
      </c>
      <c r="P432" t="s">
        <v>26</v>
      </c>
      <c r="Q432">
        <v>899</v>
      </c>
      <c r="R432">
        <v>889</v>
      </c>
    </row>
    <row r="433" spans="1:18">
      <c r="A433" t="s">
        <v>508</v>
      </c>
      <c r="B433" t="s">
        <v>19</v>
      </c>
      <c r="C433" t="s">
        <v>20</v>
      </c>
      <c r="D433" s="8">
        <v>2023</v>
      </c>
      <c r="E433" s="29">
        <v>3</v>
      </c>
      <c r="F433">
        <v>6</v>
      </c>
      <c r="G433">
        <v>128</v>
      </c>
      <c r="H433">
        <v>93</v>
      </c>
      <c r="I433">
        <v>64</v>
      </c>
      <c r="J433">
        <v>6.2</v>
      </c>
      <c r="K433" t="s">
        <v>21</v>
      </c>
      <c r="L433" t="s">
        <v>59</v>
      </c>
      <c r="M433" t="s">
        <v>47</v>
      </c>
      <c r="N433" t="s">
        <v>33</v>
      </c>
      <c r="O433" t="s">
        <v>34</v>
      </c>
      <c r="P433" t="s">
        <v>35</v>
      </c>
      <c r="Q433">
        <v>599</v>
      </c>
      <c r="R433">
        <v>529</v>
      </c>
    </row>
    <row r="434" spans="1:18">
      <c r="A434" t="s">
        <v>509</v>
      </c>
      <c r="B434" t="s">
        <v>64</v>
      </c>
      <c r="C434" t="s">
        <v>65</v>
      </c>
      <c r="D434" s="8">
        <v>2024</v>
      </c>
      <c r="E434" s="29">
        <v>2</v>
      </c>
      <c r="F434">
        <v>6</v>
      </c>
      <c r="G434">
        <v>64</v>
      </c>
      <c r="H434">
        <v>84</v>
      </c>
      <c r="I434">
        <v>108</v>
      </c>
      <c r="J434">
        <v>6.4</v>
      </c>
      <c r="K434" t="s">
        <v>66</v>
      </c>
      <c r="L434" t="s">
        <v>59</v>
      </c>
      <c r="M434" t="s">
        <v>40</v>
      </c>
      <c r="N434" t="s">
        <v>24</v>
      </c>
      <c r="O434" t="s">
        <v>87</v>
      </c>
      <c r="P434" t="s">
        <v>26</v>
      </c>
      <c r="Q434">
        <v>499</v>
      </c>
      <c r="R434">
        <v>434</v>
      </c>
    </row>
    <row r="435" spans="1:18">
      <c r="A435" t="s">
        <v>510</v>
      </c>
      <c r="B435" t="s">
        <v>44</v>
      </c>
      <c r="C435" t="s">
        <v>45</v>
      </c>
      <c r="D435" s="8">
        <v>2022</v>
      </c>
      <c r="E435" s="29">
        <v>4</v>
      </c>
      <c r="F435">
        <v>6</v>
      </c>
      <c r="G435">
        <v>64</v>
      </c>
      <c r="H435">
        <v>87</v>
      </c>
      <c r="I435">
        <v>64</v>
      </c>
      <c r="J435">
        <v>6.1</v>
      </c>
      <c r="K435" t="s">
        <v>46</v>
      </c>
      <c r="L435" t="s">
        <v>59</v>
      </c>
      <c r="M435" t="s">
        <v>60</v>
      </c>
      <c r="N435" t="s">
        <v>24</v>
      </c>
      <c r="O435" t="s">
        <v>61</v>
      </c>
      <c r="P435" t="s">
        <v>26</v>
      </c>
      <c r="Q435">
        <v>799</v>
      </c>
      <c r="R435">
        <v>640</v>
      </c>
    </row>
    <row r="436" spans="1:18">
      <c r="A436" t="s">
        <v>511</v>
      </c>
      <c r="B436" t="s">
        <v>37</v>
      </c>
      <c r="C436" t="s">
        <v>38</v>
      </c>
      <c r="D436" s="8">
        <v>2023</v>
      </c>
      <c r="E436" s="29">
        <v>3</v>
      </c>
      <c r="F436">
        <v>8</v>
      </c>
      <c r="G436">
        <v>64</v>
      </c>
      <c r="H436">
        <v>88</v>
      </c>
      <c r="I436">
        <v>64</v>
      </c>
      <c r="J436">
        <v>6.67</v>
      </c>
      <c r="K436" t="s">
        <v>39</v>
      </c>
      <c r="L436" t="s">
        <v>59</v>
      </c>
      <c r="M436" t="s">
        <v>40</v>
      </c>
      <c r="N436" t="s">
        <v>24</v>
      </c>
      <c r="O436" t="s">
        <v>41</v>
      </c>
      <c r="P436" t="s">
        <v>26</v>
      </c>
      <c r="Q436">
        <v>599</v>
      </c>
      <c r="R436">
        <v>519</v>
      </c>
    </row>
    <row r="437" spans="1:18">
      <c r="A437" t="s">
        <v>512</v>
      </c>
      <c r="B437" t="s">
        <v>54</v>
      </c>
      <c r="C437" t="s">
        <v>55</v>
      </c>
      <c r="D437" s="8">
        <v>2024</v>
      </c>
      <c r="E437" s="29">
        <v>2</v>
      </c>
      <c r="F437">
        <v>6</v>
      </c>
      <c r="G437">
        <v>512</v>
      </c>
      <c r="H437">
        <v>75</v>
      </c>
      <c r="I437">
        <v>108</v>
      </c>
      <c r="J437">
        <v>6.5</v>
      </c>
      <c r="K437" t="s">
        <v>56</v>
      </c>
      <c r="L437" t="s">
        <v>59</v>
      </c>
      <c r="M437" t="s">
        <v>32</v>
      </c>
      <c r="N437" t="s">
        <v>24</v>
      </c>
      <c r="O437" t="s">
        <v>52</v>
      </c>
      <c r="P437" t="s">
        <v>35</v>
      </c>
      <c r="Q437">
        <v>549</v>
      </c>
      <c r="R437">
        <v>537</v>
      </c>
    </row>
    <row r="438" spans="1:18">
      <c r="A438" t="s">
        <v>513</v>
      </c>
      <c r="B438" t="s">
        <v>28</v>
      </c>
      <c r="C438" t="s">
        <v>29</v>
      </c>
      <c r="D438" s="8">
        <v>2023</v>
      </c>
      <c r="E438" s="29">
        <v>3</v>
      </c>
      <c r="F438">
        <v>12</v>
      </c>
      <c r="G438">
        <v>512</v>
      </c>
      <c r="H438">
        <v>83</v>
      </c>
      <c r="I438">
        <v>48</v>
      </c>
      <c r="J438">
        <v>6.1</v>
      </c>
      <c r="K438" t="s">
        <v>30</v>
      </c>
      <c r="L438" t="s">
        <v>22</v>
      </c>
      <c r="M438" t="s">
        <v>60</v>
      </c>
      <c r="N438" t="s">
        <v>33</v>
      </c>
      <c r="O438" t="s">
        <v>25</v>
      </c>
      <c r="P438" t="s">
        <v>26</v>
      </c>
      <c r="Q438">
        <v>599</v>
      </c>
      <c r="R438">
        <v>511</v>
      </c>
    </row>
    <row r="439" spans="1:18">
      <c r="A439" t="s">
        <v>514</v>
      </c>
      <c r="B439" t="s">
        <v>77</v>
      </c>
      <c r="C439" t="s">
        <v>78</v>
      </c>
      <c r="D439" s="8">
        <v>2023</v>
      </c>
      <c r="E439" s="29">
        <v>3</v>
      </c>
      <c r="F439">
        <v>6</v>
      </c>
      <c r="G439">
        <v>512</v>
      </c>
      <c r="H439">
        <v>83</v>
      </c>
      <c r="I439">
        <v>64</v>
      </c>
      <c r="J439">
        <v>6.78</v>
      </c>
      <c r="K439" t="s">
        <v>79</v>
      </c>
      <c r="L439" t="s">
        <v>59</v>
      </c>
      <c r="M439" t="s">
        <v>40</v>
      </c>
      <c r="N439" t="s">
        <v>24</v>
      </c>
      <c r="O439" t="s">
        <v>34</v>
      </c>
      <c r="P439" t="s">
        <v>35</v>
      </c>
      <c r="Q439">
        <v>699</v>
      </c>
      <c r="R439">
        <v>668</v>
      </c>
    </row>
    <row r="440" spans="1:18">
      <c r="A440" t="s">
        <v>515</v>
      </c>
      <c r="B440" t="s">
        <v>54</v>
      </c>
      <c r="C440" t="s">
        <v>55</v>
      </c>
      <c r="D440" s="8">
        <v>2021</v>
      </c>
      <c r="E440" s="29">
        <v>5</v>
      </c>
      <c r="F440">
        <v>6</v>
      </c>
      <c r="G440">
        <v>64</v>
      </c>
      <c r="H440">
        <v>77</v>
      </c>
      <c r="I440">
        <v>48</v>
      </c>
      <c r="J440">
        <v>6.7</v>
      </c>
      <c r="K440" t="s">
        <v>56</v>
      </c>
      <c r="L440" t="s">
        <v>59</v>
      </c>
      <c r="M440" t="s">
        <v>47</v>
      </c>
      <c r="N440" t="s">
        <v>24</v>
      </c>
      <c r="O440" t="s">
        <v>41</v>
      </c>
      <c r="P440" t="s">
        <v>26</v>
      </c>
      <c r="Q440">
        <v>549</v>
      </c>
      <c r="R440">
        <v>432</v>
      </c>
    </row>
    <row r="441" spans="1:18">
      <c r="A441" t="s">
        <v>516</v>
      </c>
      <c r="B441" t="s">
        <v>64</v>
      </c>
      <c r="C441" t="s">
        <v>65</v>
      </c>
      <c r="D441" s="8">
        <v>2023</v>
      </c>
      <c r="E441" s="29">
        <v>3</v>
      </c>
      <c r="F441">
        <v>8</v>
      </c>
      <c r="G441">
        <v>64</v>
      </c>
      <c r="H441">
        <v>75</v>
      </c>
      <c r="I441">
        <v>12</v>
      </c>
      <c r="J441">
        <v>6.5</v>
      </c>
      <c r="K441" t="s">
        <v>66</v>
      </c>
      <c r="L441" t="s">
        <v>59</v>
      </c>
      <c r="M441" t="s">
        <v>32</v>
      </c>
      <c r="N441" t="s">
        <v>24</v>
      </c>
      <c r="O441" t="s">
        <v>87</v>
      </c>
      <c r="P441" t="s">
        <v>26</v>
      </c>
      <c r="Q441">
        <v>499</v>
      </c>
      <c r="R441">
        <v>429</v>
      </c>
    </row>
    <row r="442" spans="1:18">
      <c r="A442" t="s">
        <v>517</v>
      </c>
      <c r="B442" t="s">
        <v>68</v>
      </c>
      <c r="C442" t="s">
        <v>81</v>
      </c>
      <c r="D442" s="8">
        <v>2020</v>
      </c>
      <c r="E442" s="29">
        <v>6</v>
      </c>
      <c r="F442">
        <v>6</v>
      </c>
      <c r="G442">
        <v>512</v>
      </c>
      <c r="H442">
        <v>85</v>
      </c>
      <c r="I442">
        <v>48</v>
      </c>
      <c r="J442">
        <v>6.78</v>
      </c>
      <c r="K442" t="s">
        <v>82</v>
      </c>
      <c r="L442" t="s">
        <v>22</v>
      </c>
      <c r="M442" t="s">
        <v>47</v>
      </c>
      <c r="N442" t="s">
        <v>33</v>
      </c>
      <c r="O442" t="s">
        <v>84</v>
      </c>
      <c r="P442" t="s">
        <v>26</v>
      </c>
      <c r="Q442">
        <v>299</v>
      </c>
      <c r="R442">
        <v>289</v>
      </c>
    </row>
    <row r="443" spans="1:18">
      <c r="A443" t="s">
        <v>518</v>
      </c>
      <c r="B443" t="s">
        <v>64</v>
      </c>
      <c r="C443" t="s">
        <v>65</v>
      </c>
      <c r="D443" s="8">
        <v>2022</v>
      </c>
      <c r="E443" s="29">
        <v>4</v>
      </c>
      <c r="F443">
        <v>8</v>
      </c>
      <c r="G443">
        <v>512</v>
      </c>
      <c r="H443">
        <v>98</v>
      </c>
      <c r="I443">
        <v>50</v>
      </c>
      <c r="J443">
        <v>6.4</v>
      </c>
      <c r="K443" t="s">
        <v>66</v>
      </c>
      <c r="L443" t="s">
        <v>59</v>
      </c>
      <c r="M443" t="s">
        <v>47</v>
      </c>
      <c r="N443" t="s">
        <v>33</v>
      </c>
      <c r="O443" t="s">
        <v>48</v>
      </c>
      <c r="P443" t="s">
        <v>35</v>
      </c>
      <c r="Q443">
        <v>499</v>
      </c>
      <c r="R443">
        <v>489</v>
      </c>
    </row>
    <row r="444" spans="1:18">
      <c r="A444" t="s">
        <v>519</v>
      </c>
      <c r="B444" t="s">
        <v>44</v>
      </c>
      <c r="C444" t="s">
        <v>45</v>
      </c>
      <c r="D444" s="8">
        <v>2023</v>
      </c>
      <c r="E444" s="29">
        <v>3</v>
      </c>
      <c r="F444">
        <v>8</v>
      </c>
      <c r="G444">
        <v>256</v>
      </c>
      <c r="H444">
        <v>92</v>
      </c>
      <c r="I444">
        <v>48</v>
      </c>
      <c r="J444">
        <v>6.1</v>
      </c>
      <c r="K444" t="s">
        <v>46</v>
      </c>
      <c r="L444" t="s">
        <v>22</v>
      </c>
      <c r="M444" t="s">
        <v>32</v>
      </c>
      <c r="N444" t="s">
        <v>33</v>
      </c>
      <c r="O444" t="s">
        <v>84</v>
      </c>
      <c r="P444" t="s">
        <v>26</v>
      </c>
      <c r="Q444">
        <v>799</v>
      </c>
      <c r="R444">
        <v>562</v>
      </c>
    </row>
    <row r="445" spans="1:18">
      <c r="A445" t="s">
        <v>520</v>
      </c>
      <c r="B445" t="s">
        <v>68</v>
      </c>
      <c r="C445" t="s">
        <v>69</v>
      </c>
      <c r="D445" s="8">
        <v>2021</v>
      </c>
      <c r="E445" s="29">
        <v>5</v>
      </c>
      <c r="F445">
        <v>4</v>
      </c>
      <c r="G445">
        <v>512</v>
      </c>
      <c r="H445">
        <v>78</v>
      </c>
      <c r="I445">
        <v>12</v>
      </c>
      <c r="J445">
        <v>6.78</v>
      </c>
      <c r="K445" t="s">
        <v>70</v>
      </c>
      <c r="L445" t="s">
        <v>57</v>
      </c>
      <c r="M445" t="s">
        <v>23</v>
      </c>
      <c r="N445" t="s">
        <v>24</v>
      </c>
      <c r="O445" t="s">
        <v>61</v>
      </c>
      <c r="P445" t="s">
        <v>35</v>
      </c>
      <c r="Q445">
        <v>399</v>
      </c>
      <c r="R445">
        <v>309</v>
      </c>
    </row>
    <row r="446" spans="1:18">
      <c r="A446" t="s">
        <v>521</v>
      </c>
      <c r="B446" t="s">
        <v>89</v>
      </c>
      <c r="C446" t="s">
        <v>90</v>
      </c>
      <c r="D446" s="8">
        <v>2024</v>
      </c>
      <c r="E446" s="29">
        <v>2</v>
      </c>
      <c r="F446">
        <v>12</v>
      </c>
      <c r="G446">
        <v>128</v>
      </c>
      <c r="H446">
        <v>98</v>
      </c>
      <c r="I446">
        <v>108</v>
      </c>
      <c r="J446">
        <v>6.1</v>
      </c>
      <c r="K446" t="s">
        <v>91</v>
      </c>
      <c r="L446" t="s">
        <v>59</v>
      </c>
      <c r="M446" t="s">
        <v>86</v>
      </c>
      <c r="N446" t="s">
        <v>33</v>
      </c>
      <c r="O446" t="s">
        <v>87</v>
      </c>
      <c r="P446" t="s">
        <v>26</v>
      </c>
      <c r="Q446">
        <v>449</v>
      </c>
      <c r="R446">
        <v>439</v>
      </c>
    </row>
    <row r="447" spans="1:18">
      <c r="A447" t="s">
        <v>522</v>
      </c>
      <c r="B447" t="s">
        <v>64</v>
      </c>
      <c r="C447" t="s">
        <v>65</v>
      </c>
      <c r="D447" s="8">
        <v>2023</v>
      </c>
      <c r="E447" s="29">
        <v>3</v>
      </c>
      <c r="F447">
        <v>8</v>
      </c>
      <c r="G447">
        <v>256</v>
      </c>
      <c r="H447">
        <v>99</v>
      </c>
      <c r="I447">
        <v>50</v>
      </c>
      <c r="J447">
        <v>6.78</v>
      </c>
      <c r="K447" t="s">
        <v>66</v>
      </c>
      <c r="L447" t="s">
        <v>22</v>
      </c>
      <c r="M447" t="s">
        <v>86</v>
      </c>
      <c r="N447" t="s">
        <v>33</v>
      </c>
      <c r="O447" t="s">
        <v>61</v>
      </c>
      <c r="P447" t="s">
        <v>26</v>
      </c>
      <c r="Q447">
        <v>499</v>
      </c>
      <c r="R447">
        <v>426</v>
      </c>
    </row>
    <row r="448" spans="1:18">
      <c r="A448" t="s">
        <v>523</v>
      </c>
      <c r="B448" t="s">
        <v>77</v>
      </c>
      <c r="C448" t="s">
        <v>78</v>
      </c>
      <c r="D448" s="8">
        <v>2021</v>
      </c>
      <c r="E448" s="29">
        <v>5</v>
      </c>
      <c r="F448">
        <v>6</v>
      </c>
      <c r="G448">
        <v>256</v>
      </c>
      <c r="H448">
        <v>77</v>
      </c>
      <c r="I448">
        <v>48</v>
      </c>
      <c r="J448">
        <v>6.78</v>
      </c>
      <c r="K448" t="s">
        <v>79</v>
      </c>
      <c r="L448" t="s">
        <v>22</v>
      </c>
      <c r="M448" t="s">
        <v>60</v>
      </c>
      <c r="N448" t="s">
        <v>33</v>
      </c>
      <c r="O448" t="s">
        <v>52</v>
      </c>
      <c r="P448" t="s">
        <v>26</v>
      </c>
      <c r="Q448">
        <v>699</v>
      </c>
      <c r="R448">
        <v>522</v>
      </c>
    </row>
    <row r="449" spans="1:18">
      <c r="A449" t="s">
        <v>524</v>
      </c>
      <c r="B449" t="s">
        <v>37</v>
      </c>
      <c r="C449" t="s">
        <v>38</v>
      </c>
      <c r="D449" s="8">
        <v>2022</v>
      </c>
      <c r="E449" s="29">
        <v>4</v>
      </c>
      <c r="F449">
        <v>8</v>
      </c>
      <c r="G449">
        <v>256</v>
      </c>
      <c r="H449">
        <v>95</v>
      </c>
      <c r="I449">
        <v>64</v>
      </c>
      <c r="J449">
        <v>6.2</v>
      </c>
      <c r="K449" t="s">
        <v>39</v>
      </c>
      <c r="L449" t="s">
        <v>31</v>
      </c>
      <c r="M449" t="s">
        <v>23</v>
      </c>
      <c r="N449" t="s">
        <v>33</v>
      </c>
      <c r="O449" t="s">
        <v>61</v>
      </c>
      <c r="P449" t="s">
        <v>35</v>
      </c>
      <c r="Q449">
        <v>599</v>
      </c>
      <c r="R449">
        <v>576</v>
      </c>
    </row>
    <row r="450" spans="1:18">
      <c r="A450" t="s">
        <v>525</v>
      </c>
      <c r="B450" t="s">
        <v>89</v>
      </c>
      <c r="C450" t="s">
        <v>90</v>
      </c>
      <c r="D450" s="8">
        <v>2021</v>
      </c>
      <c r="E450" s="29">
        <v>5</v>
      </c>
      <c r="F450">
        <v>12</v>
      </c>
      <c r="G450">
        <v>128</v>
      </c>
      <c r="H450">
        <v>77</v>
      </c>
      <c r="I450">
        <v>48</v>
      </c>
      <c r="J450">
        <v>6.78</v>
      </c>
      <c r="K450" t="s">
        <v>91</v>
      </c>
      <c r="L450" t="s">
        <v>59</v>
      </c>
      <c r="M450" t="s">
        <v>60</v>
      </c>
      <c r="N450" t="s">
        <v>33</v>
      </c>
      <c r="O450" t="s">
        <v>84</v>
      </c>
      <c r="P450" t="s">
        <v>35</v>
      </c>
      <c r="Q450">
        <v>449</v>
      </c>
      <c r="R450">
        <v>434</v>
      </c>
    </row>
    <row r="451" spans="1:18">
      <c r="A451" t="s">
        <v>526</v>
      </c>
      <c r="B451" t="s">
        <v>44</v>
      </c>
      <c r="C451" t="s">
        <v>45</v>
      </c>
      <c r="D451" s="8">
        <v>2023</v>
      </c>
      <c r="E451" s="29">
        <v>3</v>
      </c>
      <c r="F451">
        <v>6</v>
      </c>
      <c r="G451">
        <v>64</v>
      </c>
      <c r="H451">
        <v>78</v>
      </c>
      <c r="I451">
        <v>12</v>
      </c>
      <c r="J451">
        <v>6.7</v>
      </c>
      <c r="K451" t="s">
        <v>46</v>
      </c>
      <c r="L451" t="s">
        <v>22</v>
      </c>
      <c r="M451" t="s">
        <v>60</v>
      </c>
      <c r="N451" t="s">
        <v>33</v>
      </c>
      <c r="O451" t="s">
        <v>41</v>
      </c>
      <c r="P451" t="s">
        <v>26</v>
      </c>
      <c r="Q451">
        <v>799</v>
      </c>
      <c r="R451">
        <v>536</v>
      </c>
    </row>
    <row r="452" spans="1:18">
      <c r="A452" t="s">
        <v>527</v>
      </c>
      <c r="B452" t="s">
        <v>28</v>
      </c>
      <c r="C452" t="s">
        <v>29</v>
      </c>
      <c r="D452" s="8">
        <v>2023</v>
      </c>
      <c r="E452" s="29">
        <v>3</v>
      </c>
      <c r="F452">
        <v>8</v>
      </c>
      <c r="G452">
        <v>64</v>
      </c>
      <c r="H452">
        <v>88</v>
      </c>
      <c r="I452">
        <v>64</v>
      </c>
      <c r="J452">
        <v>6.67</v>
      </c>
      <c r="K452" t="s">
        <v>30</v>
      </c>
      <c r="L452" t="s">
        <v>59</v>
      </c>
      <c r="M452" t="s">
        <v>23</v>
      </c>
      <c r="N452" t="s">
        <v>33</v>
      </c>
      <c r="O452" t="s">
        <v>84</v>
      </c>
      <c r="P452" t="s">
        <v>35</v>
      </c>
      <c r="Q452">
        <v>599</v>
      </c>
      <c r="R452">
        <v>474</v>
      </c>
    </row>
    <row r="453" spans="1:18">
      <c r="A453" t="s">
        <v>528</v>
      </c>
      <c r="B453" t="s">
        <v>37</v>
      </c>
      <c r="C453" t="s">
        <v>38</v>
      </c>
      <c r="D453" s="8">
        <v>2021</v>
      </c>
      <c r="E453" s="29">
        <v>5</v>
      </c>
      <c r="F453">
        <v>4</v>
      </c>
      <c r="G453">
        <v>64</v>
      </c>
      <c r="H453">
        <v>94</v>
      </c>
      <c r="I453">
        <v>64</v>
      </c>
      <c r="J453">
        <v>6.4</v>
      </c>
      <c r="K453" t="s">
        <v>39</v>
      </c>
      <c r="L453" t="s">
        <v>22</v>
      </c>
      <c r="M453" t="s">
        <v>23</v>
      </c>
      <c r="N453" t="s">
        <v>24</v>
      </c>
      <c r="O453" t="s">
        <v>48</v>
      </c>
      <c r="P453" t="s">
        <v>35</v>
      </c>
      <c r="Q453">
        <v>599</v>
      </c>
      <c r="R453">
        <v>401</v>
      </c>
    </row>
    <row r="454" spans="1:18">
      <c r="A454" t="s">
        <v>529</v>
      </c>
      <c r="B454" t="s">
        <v>64</v>
      </c>
      <c r="C454" t="s">
        <v>65</v>
      </c>
      <c r="D454" s="8">
        <v>2022</v>
      </c>
      <c r="E454" s="29">
        <v>4</v>
      </c>
      <c r="F454">
        <v>12</v>
      </c>
      <c r="G454">
        <v>512</v>
      </c>
      <c r="H454">
        <v>85</v>
      </c>
      <c r="I454">
        <v>108</v>
      </c>
      <c r="J454">
        <v>6.78</v>
      </c>
      <c r="K454" t="s">
        <v>66</v>
      </c>
      <c r="L454" t="s">
        <v>22</v>
      </c>
      <c r="M454" t="s">
        <v>60</v>
      </c>
      <c r="N454" t="s">
        <v>33</v>
      </c>
      <c r="O454" t="s">
        <v>41</v>
      </c>
      <c r="P454" t="s">
        <v>35</v>
      </c>
      <c r="Q454">
        <v>499</v>
      </c>
      <c r="R454">
        <v>473</v>
      </c>
    </row>
    <row r="455" spans="1:18">
      <c r="A455" t="s">
        <v>530</v>
      </c>
      <c r="B455" t="s">
        <v>73</v>
      </c>
      <c r="C455" t="s">
        <v>74</v>
      </c>
      <c r="D455" s="8">
        <v>2024</v>
      </c>
      <c r="E455" s="29">
        <v>2</v>
      </c>
      <c r="F455">
        <v>8</v>
      </c>
      <c r="G455">
        <v>64</v>
      </c>
      <c r="H455">
        <v>98</v>
      </c>
      <c r="I455">
        <v>50</v>
      </c>
      <c r="J455">
        <v>6.5</v>
      </c>
      <c r="K455" t="s">
        <v>75</v>
      </c>
      <c r="L455" t="s">
        <v>22</v>
      </c>
      <c r="M455" t="s">
        <v>40</v>
      </c>
      <c r="N455" t="s">
        <v>33</v>
      </c>
      <c r="O455" t="s">
        <v>61</v>
      </c>
      <c r="P455" t="s">
        <v>35</v>
      </c>
      <c r="Q455">
        <v>799</v>
      </c>
      <c r="R455">
        <v>561</v>
      </c>
    </row>
    <row r="456" spans="1:18">
      <c r="A456" t="s">
        <v>531</v>
      </c>
      <c r="B456" t="s">
        <v>89</v>
      </c>
      <c r="C456" t="s">
        <v>90</v>
      </c>
      <c r="D456" s="8">
        <v>2020</v>
      </c>
      <c r="E456" s="29">
        <v>6</v>
      </c>
      <c r="F456">
        <v>6</v>
      </c>
      <c r="G456">
        <v>512</v>
      </c>
      <c r="H456">
        <v>76</v>
      </c>
      <c r="I456">
        <v>12</v>
      </c>
      <c r="J456">
        <v>6.2</v>
      </c>
      <c r="K456" t="s">
        <v>91</v>
      </c>
      <c r="L456" t="s">
        <v>59</v>
      </c>
      <c r="M456" t="s">
        <v>47</v>
      </c>
      <c r="N456" t="s">
        <v>24</v>
      </c>
      <c r="O456" t="s">
        <v>84</v>
      </c>
      <c r="P456" t="s">
        <v>26</v>
      </c>
      <c r="Q456">
        <v>449</v>
      </c>
      <c r="R456">
        <v>439</v>
      </c>
    </row>
    <row r="457" spans="1:18">
      <c r="A457" t="s">
        <v>532</v>
      </c>
      <c r="B457" t="s">
        <v>73</v>
      </c>
      <c r="C457" t="s">
        <v>122</v>
      </c>
      <c r="D457" s="8">
        <v>2021</v>
      </c>
      <c r="E457" s="29">
        <v>5</v>
      </c>
      <c r="F457">
        <v>12</v>
      </c>
      <c r="G457">
        <v>256</v>
      </c>
      <c r="H457">
        <v>76</v>
      </c>
      <c r="I457">
        <v>108</v>
      </c>
      <c r="J457">
        <v>6.1</v>
      </c>
      <c r="K457" t="s">
        <v>123</v>
      </c>
      <c r="L457" t="s">
        <v>59</v>
      </c>
      <c r="M457" t="s">
        <v>86</v>
      </c>
      <c r="N457" t="s">
        <v>33</v>
      </c>
      <c r="O457" t="s">
        <v>52</v>
      </c>
      <c r="P457" t="s">
        <v>35</v>
      </c>
      <c r="Q457">
        <v>699</v>
      </c>
      <c r="R457">
        <v>600</v>
      </c>
    </row>
    <row r="458" spans="1:18">
      <c r="A458" t="s">
        <v>533</v>
      </c>
      <c r="B458" t="s">
        <v>77</v>
      </c>
      <c r="C458" t="s">
        <v>78</v>
      </c>
      <c r="D458" s="8">
        <v>2021</v>
      </c>
      <c r="E458" s="29">
        <v>5</v>
      </c>
      <c r="F458">
        <v>8</v>
      </c>
      <c r="G458">
        <v>128</v>
      </c>
      <c r="H458">
        <v>95</v>
      </c>
      <c r="I458">
        <v>12</v>
      </c>
      <c r="J458">
        <v>6.1</v>
      </c>
      <c r="K458" t="s">
        <v>79</v>
      </c>
      <c r="L458" t="s">
        <v>59</v>
      </c>
      <c r="M458" t="s">
        <v>23</v>
      </c>
      <c r="N458" t="s">
        <v>24</v>
      </c>
      <c r="O458" t="s">
        <v>41</v>
      </c>
      <c r="P458" t="s">
        <v>35</v>
      </c>
      <c r="Q458">
        <v>699</v>
      </c>
      <c r="R458">
        <v>568</v>
      </c>
    </row>
    <row r="459" spans="1:18">
      <c r="A459" t="s">
        <v>534</v>
      </c>
      <c r="B459" t="s">
        <v>44</v>
      </c>
      <c r="C459" t="s">
        <v>45</v>
      </c>
      <c r="D459" s="8">
        <v>2022</v>
      </c>
      <c r="E459" s="29">
        <v>4</v>
      </c>
      <c r="F459">
        <v>8</v>
      </c>
      <c r="G459">
        <v>128</v>
      </c>
      <c r="H459">
        <v>92</v>
      </c>
      <c r="I459">
        <v>12</v>
      </c>
      <c r="J459">
        <v>6.7</v>
      </c>
      <c r="K459" t="s">
        <v>46</v>
      </c>
      <c r="L459" t="s">
        <v>59</v>
      </c>
      <c r="M459" t="s">
        <v>32</v>
      </c>
      <c r="N459" t="s">
        <v>24</v>
      </c>
      <c r="O459" t="s">
        <v>41</v>
      </c>
      <c r="P459" t="s">
        <v>35</v>
      </c>
      <c r="Q459">
        <v>799</v>
      </c>
      <c r="R459">
        <v>669</v>
      </c>
    </row>
    <row r="460" spans="1:18">
      <c r="A460" t="s">
        <v>535</v>
      </c>
      <c r="B460" t="s">
        <v>19</v>
      </c>
      <c r="C460" t="s">
        <v>20</v>
      </c>
      <c r="D460" s="8">
        <v>2024</v>
      </c>
      <c r="E460" s="29">
        <v>2</v>
      </c>
      <c r="F460">
        <v>4</v>
      </c>
      <c r="G460">
        <v>512</v>
      </c>
      <c r="H460">
        <v>84</v>
      </c>
      <c r="I460">
        <v>108</v>
      </c>
      <c r="J460">
        <v>6.5</v>
      </c>
      <c r="K460" t="s">
        <v>21</v>
      </c>
      <c r="L460" t="s">
        <v>31</v>
      </c>
      <c r="M460" t="s">
        <v>23</v>
      </c>
      <c r="N460" t="s">
        <v>33</v>
      </c>
      <c r="O460" t="s">
        <v>52</v>
      </c>
      <c r="P460" t="s">
        <v>26</v>
      </c>
      <c r="Q460">
        <v>599</v>
      </c>
      <c r="R460">
        <v>589</v>
      </c>
    </row>
    <row r="461" spans="1:18">
      <c r="A461" t="s">
        <v>536</v>
      </c>
      <c r="B461" t="s">
        <v>37</v>
      </c>
      <c r="C461" t="s">
        <v>38</v>
      </c>
      <c r="D461" s="8">
        <v>2021</v>
      </c>
      <c r="E461" s="29">
        <v>5</v>
      </c>
      <c r="F461">
        <v>8</v>
      </c>
      <c r="G461">
        <v>512</v>
      </c>
      <c r="H461">
        <v>92</v>
      </c>
      <c r="I461">
        <v>12</v>
      </c>
      <c r="J461">
        <v>6.4</v>
      </c>
      <c r="K461" t="s">
        <v>39</v>
      </c>
      <c r="L461" t="s">
        <v>59</v>
      </c>
      <c r="M461" t="s">
        <v>23</v>
      </c>
      <c r="N461" t="s">
        <v>33</v>
      </c>
      <c r="O461" t="s">
        <v>84</v>
      </c>
      <c r="P461" t="s">
        <v>26</v>
      </c>
      <c r="Q461">
        <v>599</v>
      </c>
      <c r="R461">
        <v>569</v>
      </c>
    </row>
    <row r="462" spans="1:18">
      <c r="A462" t="s">
        <v>537</v>
      </c>
      <c r="B462" t="s">
        <v>77</v>
      </c>
      <c r="C462" t="s">
        <v>78</v>
      </c>
      <c r="D462" s="8">
        <v>2022</v>
      </c>
      <c r="E462" s="29">
        <v>4</v>
      </c>
      <c r="F462">
        <v>4</v>
      </c>
      <c r="G462">
        <v>256</v>
      </c>
      <c r="H462">
        <v>96</v>
      </c>
      <c r="I462">
        <v>12</v>
      </c>
      <c r="J462">
        <v>6.4</v>
      </c>
      <c r="K462" t="s">
        <v>79</v>
      </c>
      <c r="L462" t="s">
        <v>59</v>
      </c>
      <c r="M462" t="s">
        <v>40</v>
      </c>
      <c r="N462" t="s">
        <v>24</v>
      </c>
      <c r="O462" t="s">
        <v>61</v>
      </c>
      <c r="P462" t="s">
        <v>26</v>
      </c>
      <c r="Q462">
        <v>699</v>
      </c>
      <c r="R462">
        <v>603</v>
      </c>
    </row>
    <row r="463" spans="1:18">
      <c r="A463" t="s">
        <v>538</v>
      </c>
      <c r="B463" t="s">
        <v>77</v>
      </c>
      <c r="C463" t="s">
        <v>78</v>
      </c>
      <c r="D463" s="8">
        <v>2020</v>
      </c>
      <c r="E463" s="29">
        <v>6</v>
      </c>
      <c r="F463">
        <v>6</v>
      </c>
      <c r="G463">
        <v>64</v>
      </c>
      <c r="H463">
        <v>92</v>
      </c>
      <c r="I463">
        <v>12</v>
      </c>
      <c r="J463">
        <v>6.2</v>
      </c>
      <c r="K463" t="s">
        <v>79</v>
      </c>
      <c r="L463" t="s">
        <v>31</v>
      </c>
      <c r="M463" t="s">
        <v>47</v>
      </c>
      <c r="N463" t="s">
        <v>33</v>
      </c>
      <c r="O463" t="s">
        <v>52</v>
      </c>
      <c r="P463" t="s">
        <v>35</v>
      </c>
      <c r="Q463">
        <v>699</v>
      </c>
      <c r="R463">
        <v>618</v>
      </c>
    </row>
    <row r="464" spans="1:18">
      <c r="A464" t="s">
        <v>539</v>
      </c>
      <c r="B464" t="s">
        <v>37</v>
      </c>
      <c r="C464" t="s">
        <v>38</v>
      </c>
      <c r="D464" s="8">
        <v>2023</v>
      </c>
      <c r="E464" s="29">
        <v>3</v>
      </c>
      <c r="F464">
        <v>12</v>
      </c>
      <c r="G464">
        <v>64</v>
      </c>
      <c r="H464">
        <v>90</v>
      </c>
      <c r="I464">
        <v>12</v>
      </c>
      <c r="J464">
        <v>6.5</v>
      </c>
      <c r="K464" t="s">
        <v>39</v>
      </c>
      <c r="L464" t="s">
        <v>22</v>
      </c>
      <c r="M464" t="s">
        <v>40</v>
      </c>
      <c r="N464" t="s">
        <v>24</v>
      </c>
      <c r="O464" t="s">
        <v>84</v>
      </c>
      <c r="P464" t="s">
        <v>35</v>
      </c>
      <c r="Q464">
        <v>599</v>
      </c>
      <c r="R464">
        <v>433</v>
      </c>
    </row>
    <row r="465" spans="1:18">
      <c r="A465" t="s">
        <v>540</v>
      </c>
      <c r="B465" t="s">
        <v>68</v>
      </c>
      <c r="C465" t="s">
        <v>69</v>
      </c>
      <c r="D465" s="8">
        <v>2020</v>
      </c>
      <c r="E465" s="29">
        <v>6</v>
      </c>
      <c r="F465">
        <v>12</v>
      </c>
      <c r="G465">
        <v>128</v>
      </c>
      <c r="H465">
        <v>78</v>
      </c>
      <c r="I465">
        <v>12</v>
      </c>
      <c r="J465">
        <v>6.67</v>
      </c>
      <c r="K465" t="s">
        <v>70</v>
      </c>
      <c r="L465" t="s">
        <v>22</v>
      </c>
      <c r="M465" t="s">
        <v>40</v>
      </c>
      <c r="N465" t="s">
        <v>24</v>
      </c>
      <c r="O465" t="s">
        <v>34</v>
      </c>
      <c r="P465" t="s">
        <v>35</v>
      </c>
      <c r="Q465">
        <v>399</v>
      </c>
      <c r="R465">
        <v>311</v>
      </c>
    </row>
    <row r="466" spans="1:18">
      <c r="A466" t="s">
        <v>541</v>
      </c>
      <c r="B466" t="s">
        <v>68</v>
      </c>
      <c r="C466" t="s">
        <v>81</v>
      </c>
      <c r="D466" s="8">
        <v>2023</v>
      </c>
      <c r="E466" s="29">
        <v>3</v>
      </c>
      <c r="F466">
        <v>6</v>
      </c>
      <c r="G466">
        <v>256</v>
      </c>
      <c r="H466">
        <v>93</v>
      </c>
      <c r="I466">
        <v>12</v>
      </c>
      <c r="J466">
        <v>6.1</v>
      </c>
      <c r="K466" t="s">
        <v>82</v>
      </c>
      <c r="L466" t="s">
        <v>59</v>
      </c>
      <c r="M466" t="s">
        <v>86</v>
      </c>
      <c r="N466" t="s">
        <v>33</v>
      </c>
      <c r="O466" t="s">
        <v>25</v>
      </c>
      <c r="P466" t="s">
        <v>35</v>
      </c>
      <c r="Q466">
        <v>299</v>
      </c>
      <c r="R466">
        <v>289</v>
      </c>
    </row>
    <row r="467" spans="1:18">
      <c r="A467" t="s">
        <v>542</v>
      </c>
      <c r="B467" t="s">
        <v>89</v>
      </c>
      <c r="C467" t="s">
        <v>115</v>
      </c>
      <c r="D467" s="8">
        <v>2020</v>
      </c>
      <c r="E467" s="29">
        <v>6</v>
      </c>
      <c r="F467">
        <v>6</v>
      </c>
      <c r="G467">
        <v>512</v>
      </c>
      <c r="H467">
        <v>86</v>
      </c>
      <c r="I467">
        <v>108</v>
      </c>
      <c r="J467">
        <v>6.67</v>
      </c>
      <c r="K467" t="s">
        <v>116</v>
      </c>
      <c r="L467" t="s">
        <v>31</v>
      </c>
      <c r="M467" t="s">
        <v>40</v>
      </c>
      <c r="N467" t="s">
        <v>33</v>
      </c>
      <c r="O467" t="s">
        <v>41</v>
      </c>
      <c r="P467" t="s">
        <v>35</v>
      </c>
      <c r="Q467">
        <v>999</v>
      </c>
      <c r="R467">
        <v>950</v>
      </c>
    </row>
    <row r="468" spans="1:18">
      <c r="A468" t="s">
        <v>543</v>
      </c>
      <c r="B468" t="s">
        <v>28</v>
      </c>
      <c r="C468" t="s">
        <v>29</v>
      </c>
      <c r="D468" s="8">
        <v>2022</v>
      </c>
      <c r="E468" s="29">
        <v>4</v>
      </c>
      <c r="F468">
        <v>4</v>
      </c>
      <c r="G468">
        <v>512</v>
      </c>
      <c r="H468">
        <v>87</v>
      </c>
      <c r="I468">
        <v>48</v>
      </c>
      <c r="J468">
        <v>6.67</v>
      </c>
      <c r="K468" t="s">
        <v>30</v>
      </c>
      <c r="L468" t="s">
        <v>22</v>
      </c>
      <c r="M468" t="s">
        <v>23</v>
      </c>
      <c r="N468" t="s">
        <v>24</v>
      </c>
      <c r="O468" t="s">
        <v>34</v>
      </c>
      <c r="P468" t="s">
        <v>26</v>
      </c>
      <c r="Q468">
        <v>599</v>
      </c>
      <c r="R468">
        <v>468</v>
      </c>
    </row>
    <row r="469" spans="1:18">
      <c r="A469" t="s">
        <v>544</v>
      </c>
      <c r="B469" t="s">
        <v>73</v>
      </c>
      <c r="C469" t="s">
        <v>122</v>
      </c>
      <c r="D469" s="8">
        <v>2022</v>
      </c>
      <c r="E469" s="29">
        <v>4</v>
      </c>
      <c r="F469">
        <v>4</v>
      </c>
      <c r="G469">
        <v>256</v>
      </c>
      <c r="H469">
        <v>83</v>
      </c>
      <c r="I469">
        <v>48</v>
      </c>
      <c r="J469">
        <v>6.1</v>
      </c>
      <c r="K469" t="s">
        <v>123</v>
      </c>
      <c r="L469" t="s">
        <v>31</v>
      </c>
      <c r="M469" t="s">
        <v>47</v>
      </c>
      <c r="N469" t="s">
        <v>33</v>
      </c>
      <c r="O469" t="s">
        <v>52</v>
      </c>
      <c r="P469" t="s">
        <v>35</v>
      </c>
      <c r="Q469">
        <v>699</v>
      </c>
      <c r="R469">
        <v>668</v>
      </c>
    </row>
    <row r="470" spans="1:18">
      <c r="A470" t="s">
        <v>545</v>
      </c>
      <c r="B470" t="s">
        <v>64</v>
      </c>
      <c r="C470" t="s">
        <v>65</v>
      </c>
      <c r="D470" s="8">
        <v>2020</v>
      </c>
      <c r="E470" s="29">
        <v>6</v>
      </c>
      <c r="F470">
        <v>12</v>
      </c>
      <c r="G470">
        <v>128</v>
      </c>
      <c r="H470">
        <v>79</v>
      </c>
      <c r="I470">
        <v>12</v>
      </c>
      <c r="J470">
        <v>6.78</v>
      </c>
      <c r="K470" t="s">
        <v>66</v>
      </c>
      <c r="L470" t="s">
        <v>59</v>
      </c>
      <c r="M470" t="s">
        <v>32</v>
      </c>
      <c r="N470" t="s">
        <v>33</v>
      </c>
      <c r="O470" t="s">
        <v>84</v>
      </c>
      <c r="P470" t="s">
        <v>35</v>
      </c>
      <c r="Q470">
        <v>499</v>
      </c>
      <c r="R470">
        <v>447</v>
      </c>
    </row>
    <row r="471" spans="1:18">
      <c r="A471" t="s">
        <v>546</v>
      </c>
      <c r="B471" t="s">
        <v>89</v>
      </c>
      <c r="C471" t="s">
        <v>115</v>
      </c>
      <c r="D471" s="8">
        <v>2022</v>
      </c>
      <c r="E471" s="29">
        <v>4</v>
      </c>
      <c r="F471">
        <v>8</v>
      </c>
      <c r="G471">
        <v>64</v>
      </c>
      <c r="H471">
        <v>82</v>
      </c>
      <c r="I471">
        <v>64</v>
      </c>
      <c r="J471">
        <v>6.4</v>
      </c>
      <c r="K471" t="s">
        <v>116</v>
      </c>
      <c r="L471" t="s">
        <v>59</v>
      </c>
      <c r="M471" t="s">
        <v>32</v>
      </c>
      <c r="N471" t="s">
        <v>24</v>
      </c>
      <c r="O471" t="s">
        <v>48</v>
      </c>
      <c r="P471" t="s">
        <v>26</v>
      </c>
      <c r="Q471">
        <v>999</v>
      </c>
      <c r="R471">
        <v>823</v>
      </c>
    </row>
    <row r="472" spans="1:18">
      <c r="A472" t="s">
        <v>547</v>
      </c>
      <c r="B472" t="s">
        <v>19</v>
      </c>
      <c r="C472" t="s">
        <v>20</v>
      </c>
      <c r="D472" s="8">
        <v>2022</v>
      </c>
      <c r="E472" s="29">
        <v>4</v>
      </c>
      <c r="F472">
        <v>6</v>
      </c>
      <c r="G472">
        <v>128</v>
      </c>
      <c r="H472">
        <v>80</v>
      </c>
      <c r="I472">
        <v>12</v>
      </c>
      <c r="J472">
        <v>6.7</v>
      </c>
      <c r="K472" t="s">
        <v>21</v>
      </c>
      <c r="L472" t="s">
        <v>59</v>
      </c>
      <c r="M472" t="s">
        <v>60</v>
      </c>
      <c r="N472" t="s">
        <v>33</v>
      </c>
      <c r="O472" t="s">
        <v>34</v>
      </c>
      <c r="P472" t="s">
        <v>26</v>
      </c>
      <c r="Q472">
        <v>599</v>
      </c>
      <c r="R472">
        <v>477</v>
      </c>
    </row>
    <row r="473" spans="1:18">
      <c r="A473" t="s">
        <v>548</v>
      </c>
      <c r="B473" t="s">
        <v>19</v>
      </c>
      <c r="C473" t="s">
        <v>20</v>
      </c>
      <c r="D473" s="8">
        <v>2023</v>
      </c>
      <c r="E473" s="29">
        <v>3</v>
      </c>
      <c r="F473">
        <v>8</v>
      </c>
      <c r="G473">
        <v>64</v>
      </c>
      <c r="H473">
        <v>90</v>
      </c>
      <c r="I473">
        <v>50</v>
      </c>
      <c r="J473">
        <v>6.2</v>
      </c>
      <c r="K473" t="s">
        <v>21</v>
      </c>
      <c r="L473" t="s">
        <v>59</v>
      </c>
      <c r="M473" t="s">
        <v>23</v>
      </c>
      <c r="N473" t="s">
        <v>33</v>
      </c>
      <c r="O473" t="s">
        <v>41</v>
      </c>
      <c r="P473" t="s">
        <v>35</v>
      </c>
      <c r="Q473">
        <v>599</v>
      </c>
      <c r="R473">
        <v>494</v>
      </c>
    </row>
    <row r="474" spans="1:18">
      <c r="A474" t="s">
        <v>549</v>
      </c>
      <c r="B474" t="s">
        <v>44</v>
      </c>
      <c r="C474" t="s">
        <v>45</v>
      </c>
      <c r="D474" s="8">
        <v>2020</v>
      </c>
      <c r="E474" s="29">
        <v>6</v>
      </c>
      <c r="F474">
        <v>4</v>
      </c>
      <c r="G474">
        <v>64</v>
      </c>
      <c r="H474">
        <v>76</v>
      </c>
      <c r="I474">
        <v>50</v>
      </c>
      <c r="J474">
        <v>6.2</v>
      </c>
      <c r="K474" t="s">
        <v>46</v>
      </c>
      <c r="L474" t="s">
        <v>22</v>
      </c>
      <c r="M474" t="s">
        <v>23</v>
      </c>
      <c r="N474" t="s">
        <v>33</v>
      </c>
      <c r="O474" t="s">
        <v>52</v>
      </c>
      <c r="P474" t="s">
        <v>35</v>
      </c>
      <c r="Q474">
        <v>799</v>
      </c>
      <c r="R474">
        <v>522</v>
      </c>
    </row>
    <row r="475" spans="1:18">
      <c r="A475" t="s">
        <v>550</v>
      </c>
      <c r="B475" t="s">
        <v>28</v>
      </c>
      <c r="C475" t="s">
        <v>29</v>
      </c>
      <c r="D475" s="8">
        <v>2022</v>
      </c>
      <c r="E475" s="29">
        <v>4</v>
      </c>
      <c r="F475">
        <v>12</v>
      </c>
      <c r="G475">
        <v>128</v>
      </c>
      <c r="H475">
        <v>95</v>
      </c>
      <c r="I475">
        <v>50</v>
      </c>
      <c r="J475">
        <v>6.2</v>
      </c>
      <c r="K475" t="s">
        <v>30</v>
      </c>
      <c r="L475" t="s">
        <v>22</v>
      </c>
      <c r="M475" t="s">
        <v>40</v>
      </c>
      <c r="N475" t="s">
        <v>24</v>
      </c>
      <c r="O475" t="s">
        <v>61</v>
      </c>
      <c r="P475" t="s">
        <v>26</v>
      </c>
      <c r="Q475">
        <v>599</v>
      </c>
      <c r="R475">
        <v>438</v>
      </c>
    </row>
    <row r="476" spans="1:18">
      <c r="A476" t="s">
        <v>551</v>
      </c>
      <c r="B476" t="s">
        <v>73</v>
      </c>
      <c r="C476" t="s">
        <v>105</v>
      </c>
      <c r="D476" s="8">
        <v>2022</v>
      </c>
      <c r="E476" s="29">
        <v>4</v>
      </c>
      <c r="F476">
        <v>8</v>
      </c>
      <c r="G476">
        <v>64</v>
      </c>
      <c r="H476">
        <v>85</v>
      </c>
      <c r="I476">
        <v>50</v>
      </c>
      <c r="J476">
        <v>6.1</v>
      </c>
      <c r="K476" t="s">
        <v>75</v>
      </c>
      <c r="L476" t="s">
        <v>59</v>
      </c>
      <c r="M476" t="s">
        <v>47</v>
      </c>
      <c r="N476" t="s">
        <v>24</v>
      </c>
      <c r="O476" t="s">
        <v>52</v>
      </c>
      <c r="P476" t="s">
        <v>35</v>
      </c>
      <c r="Q476">
        <v>899</v>
      </c>
      <c r="R476">
        <v>717</v>
      </c>
    </row>
    <row r="477" spans="1:18">
      <c r="A477" t="s">
        <v>552</v>
      </c>
      <c r="B477" t="s">
        <v>68</v>
      </c>
      <c r="C477" t="s">
        <v>69</v>
      </c>
      <c r="D477" s="8">
        <v>2022</v>
      </c>
      <c r="E477" s="29">
        <v>4</v>
      </c>
      <c r="F477">
        <v>6</v>
      </c>
      <c r="G477">
        <v>256</v>
      </c>
      <c r="H477">
        <v>76</v>
      </c>
      <c r="I477">
        <v>108</v>
      </c>
      <c r="J477">
        <v>6.1</v>
      </c>
      <c r="K477" t="s">
        <v>70</v>
      </c>
      <c r="L477" t="s">
        <v>22</v>
      </c>
      <c r="M477" t="s">
        <v>32</v>
      </c>
      <c r="N477" t="s">
        <v>24</v>
      </c>
      <c r="O477" t="s">
        <v>48</v>
      </c>
      <c r="P477" t="s">
        <v>35</v>
      </c>
      <c r="Q477">
        <v>399</v>
      </c>
      <c r="R477">
        <v>291</v>
      </c>
    </row>
    <row r="478" spans="1:18">
      <c r="A478" t="s">
        <v>553</v>
      </c>
      <c r="B478" t="s">
        <v>37</v>
      </c>
      <c r="C478" t="s">
        <v>38</v>
      </c>
      <c r="D478" s="8">
        <v>2024</v>
      </c>
      <c r="E478" s="29">
        <v>2</v>
      </c>
      <c r="F478">
        <v>6</v>
      </c>
      <c r="G478">
        <v>128</v>
      </c>
      <c r="H478">
        <v>100</v>
      </c>
      <c r="I478">
        <v>12</v>
      </c>
      <c r="J478">
        <v>6.1</v>
      </c>
      <c r="K478" t="s">
        <v>39</v>
      </c>
      <c r="L478" t="s">
        <v>57</v>
      </c>
      <c r="M478" t="s">
        <v>32</v>
      </c>
      <c r="N478" t="s">
        <v>33</v>
      </c>
      <c r="O478" t="s">
        <v>61</v>
      </c>
      <c r="P478" t="s">
        <v>26</v>
      </c>
      <c r="Q478">
        <v>599</v>
      </c>
      <c r="R478">
        <v>320</v>
      </c>
    </row>
    <row r="479" spans="1:18">
      <c r="A479" t="s">
        <v>554</v>
      </c>
      <c r="B479" t="s">
        <v>44</v>
      </c>
      <c r="C479" t="s">
        <v>45</v>
      </c>
      <c r="D479" s="8">
        <v>2022</v>
      </c>
      <c r="E479" s="29">
        <v>4</v>
      </c>
      <c r="F479">
        <v>6</v>
      </c>
      <c r="G479">
        <v>128</v>
      </c>
      <c r="H479">
        <v>90</v>
      </c>
      <c r="I479">
        <v>48</v>
      </c>
      <c r="J479">
        <v>6.7</v>
      </c>
      <c r="K479" t="s">
        <v>46</v>
      </c>
      <c r="L479" t="s">
        <v>22</v>
      </c>
      <c r="M479" t="s">
        <v>47</v>
      </c>
      <c r="N479" t="s">
        <v>24</v>
      </c>
      <c r="O479" t="s">
        <v>61</v>
      </c>
      <c r="P479" t="s">
        <v>26</v>
      </c>
      <c r="Q479">
        <v>799</v>
      </c>
      <c r="R479">
        <v>561</v>
      </c>
    </row>
    <row r="480" spans="1:18">
      <c r="A480" t="s">
        <v>555</v>
      </c>
      <c r="B480" t="s">
        <v>73</v>
      </c>
      <c r="C480" t="s">
        <v>122</v>
      </c>
      <c r="D480" s="8">
        <v>2021</v>
      </c>
      <c r="E480" s="29">
        <v>5</v>
      </c>
      <c r="F480">
        <v>6</v>
      </c>
      <c r="G480">
        <v>128</v>
      </c>
      <c r="H480">
        <v>83</v>
      </c>
      <c r="I480">
        <v>48</v>
      </c>
      <c r="J480">
        <v>6.78</v>
      </c>
      <c r="K480" t="s">
        <v>123</v>
      </c>
      <c r="L480" t="s">
        <v>31</v>
      </c>
      <c r="M480" t="s">
        <v>86</v>
      </c>
      <c r="N480" t="s">
        <v>24</v>
      </c>
      <c r="O480" t="s">
        <v>48</v>
      </c>
      <c r="P480" t="s">
        <v>26</v>
      </c>
      <c r="Q480">
        <v>699</v>
      </c>
      <c r="R480">
        <v>632</v>
      </c>
    </row>
    <row r="481" spans="1:18">
      <c r="A481" t="s">
        <v>556</v>
      </c>
      <c r="B481" t="s">
        <v>54</v>
      </c>
      <c r="C481" t="s">
        <v>55</v>
      </c>
      <c r="D481" s="8">
        <v>2021</v>
      </c>
      <c r="E481" s="29">
        <v>5</v>
      </c>
      <c r="F481">
        <v>6</v>
      </c>
      <c r="G481">
        <v>512</v>
      </c>
      <c r="H481">
        <v>94</v>
      </c>
      <c r="I481">
        <v>50</v>
      </c>
      <c r="J481">
        <v>6.1</v>
      </c>
      <c r="K481" t="s">
        <v>56</v>
      </c>
      <c r="L481" t="s">
        <v>59</v>
      </c>
      <c r="M481" t="s">
        <v>47</v>
      </c>
      <c r="N481" t="s">
        <v>33</v>
      </c>
      <c r="O481" t="s">
        <v>25</v>
      </c>
      <c r="P481" t="s">
        <v>26</v>
      </c>
      <c r="Q481">
        <v>549</v>
      </c>
      <c r="R481">
        <v>521</v>
      </c>
    </row>
    <row r="482" spans="1:18">
      <c r="A482" t="s">
        <v>557</v>
      </c>
      <c r="B482" t="s">
        <v>77</v>
      </c>
      <c r="C482" t="s">
        <v>78</v>
      </c>
      <c r="D482" s="8">
        <v>2022</v>
      </c>
      <c r="E482" s="29">
        <v>4</v>
      </c>
      <c r="F482">
        <v>4</v>
      </c>
      <c r="G482">
        <v>256</v>
      </c>
      <c r="H482">
        <v>95</v>
      </c>
      <c r="I482">
        <v>48</v>
      </c>
      <c r="J482">
        <v>6.5</v>
      </c>
      <c r="K482" t="s">
        <v>79</v>
      </c>
      <c r="L482" t="s">
        <v>22</v>
      </c>
      <c r="M482" t="s">
        <v>60</v>
      </c>
      <c r="N482" t="s">
        <v>33</v>
      </c>
      <c r="O482" t="s">
        <v>61</v>
      </c>
      <c r="P482" t="s">
        <v>26</v>
      </c>
      <c r="Q482">
        <v>699</v>
      </c>
      <c r="R482">
        <v>493</v>
      </c>
    </row>
    <row r="483" spans="1:18">
      <c r="A483" t="s">
        <v>558</v>
      </c>
      <c r="B483" t="s">
        <v>64</v>
      </c>
      <c r="C483" t="s">
        <v>65</v>
      </c>
      <c r="D483" s="8">
        <v>2024</v>
      </c>
      <c r="E483" s="29">
        <v>2</v>
      </c>
      <c r="F483">
        <v>12</v>
      </c>
      <c r="G483">
        <v>128</v>
      </c>
      <c r="H483">
        <v>81</v>
      </c>
      <c r="I483">
        <v>12</v>
      </c>
      <c r="J483">
        <v>6.78</v>
      </c>
      <c r="K483" t="s">
        <v>66</v>
      </c>
      <c r="L483" t="s">
        <v>22</v>
      </c>
      <c r="M483" t="s">
        <v>40</v>
      </c>
      <c r="N483" t="s">
        <v>24</v>
      </c>
      <c r="O483" t="s">
        <v>41</v>
      </c>
      <c r="P483" t="s">
        <v>35</v>
      </c>
      <c r="Q483">
        <v>499</v>
      </c>
      <c r="R483">
        <v>380</v>
      </c>
    </row>
    <row r="484" spans="1:18">
      <c r="A484" t="s">
        <v>559</v>
      </c>
      <c r="B484" t="s">
        <v>37</v>
      </c>
      <c r="C484" t="s">
        <v>38</v>
      </c>
      <c r="D484" s="8">
        <v>2020</v>
      </c>
      <c r="E484" s="29">
        <v>6</v>
      </c>
      <c r="F484">
        <v>12</v>
      </c>
      <c r="G484">
        <v>512</v>
      </c>
      <c r="H484">
        <v>77</v>
      </c>
      <c r="I484">
        <v>64</v>
      </c>
      <c r="J484">
        <v>6.78</v>
      </c>
      <c r="K484" t="s">
        <v>39</v>
      </c>
      <c r="L484" t="s">
        <v>57</v>
      </c>
      <c r="M484" t="s">
        <v>32</v>
      </c>
      <c r="N484" t="s">
        <v>24</v>
      </c>
      <c r="O484" t="s">
        <v>61</v>
      </c>
      <c r="P484" t="s">
        <v>26</v>
      </c>
      <c r="Q484">
        <v>599</v>
      </c>
      <c r="R484">
        <v>407</v>
      </c>
    </row>
    <row r="485" spans="1:18">
      <c r="A485" t="s">
        <v>560</v>
      </c>
      <c r="B485" t="s">
        <v>28</v>
      </c>
      <c r="C485" t="s">
        <v>29</v>
      </c>
      <c r="D485" s="8">
        <v>2021</v>
      </c>
      <c r="E485" s="29">
        <v>5</v>
      </c>
      <c r="F485">
        <v>4</v>
      </c>
      <c r="G485">
        <v>128</v>
      </c>
      <c r="H485">
        <v>90</v>
      </c>
      <c r="I485">
        <v>12</v>
      </c>
      <c r="J485">
        <v>6.5</v>
      </c>
      <c r="K485" t="s">
        <v>30</v>
      </c>
      <c r="L485" t="s">
        <v>59</v>
      </c>
      <c r="M485" t="s">
        <v>32</v>
      </c>
      <c r="N485" t="s">
        <v>33</v>
      </c>
      <c r="O485" t="s">
        <v>25</v>
      </c>
      <c r="P485" t="s">
        <v>35</v>
      </c>
      <c r="Q485">
        <v>599</v>
      </c>
      <c r="R485">
        <v>495</v>
      </c>
    </row>
    <row r="486" spans="1:18">
      <c r="A486" t="s">
        <v>561</v>
      </c>
      <c r="B486" t="s">
        <v>73</v>
      </c>
      <c r="C486" t="s">
        <v>122</v>
      </c>
      <c r="D486" s="8">
        <v>2022</v>
      </c>
      <c r="E486" s="29">
        <v>4</v>
      </c>
      <c r="F486">
        <v>12</v>
      </c>
      <c r="G486">
        <v>64</v>
      </c>
      <c r="H486">
        <v>91</v>
      </c>
      <c r="I486">
        <v>64</v>
      </c>
      <c r="J486">
        <v>6.7</v>
      </c>
      <c r="K486" t="s">
        <v>123</v>
      </c>
      <c r="L486" t="s">
        <v>22</v>
      </c>
      <c r="M486" t="s">
        <v>32</v>
      </c>
      <c r="N486" t="s">
        <v>33</v>
      </c>
      <c r="O486" t="s">
        <v>34</v>
      </c>
      <c r="P486" t="s">
        <v>35</v>
      </c>
      <c r="Q486">
        <v>699</v>
      </c>
      <c r="R486">
        <v>518</v>
      </c>
    </row>
    <row r="487" spans="1:18">
      <c r="A487" t="s">
        <v>562</v>
      </c>
      <c r="B487" t="s">
        <v>37</v>
      </c>
      <c r="C487" t="s">
        <v>38</v>
      </c>
      <c r="D487" s="8">
        <v>2020</v>
      </c>
      <c r="E487" s="29">
        <v>6</v>
      </c>
      <c r="F487">
        <v>12</v>
      </c>
      <c r="G487">
        <v>512</v>
      </c>
      <c r="H487">
        <v>90</v>
      </c>
      <c r="I487">
        <v>12</v>
      </c>
      <c r="J487">
        <v>6.4</v>
      </c>
      <c r="K487" t="s">
        <v>39</v>
      </c>
      <c r="L487" t="s">
        <v>59</v>
      </c>
      <c r="M487" t="s">
        <v>86</v>
      </c>
      <c r="N487" t="s">
        <v>24</v>
      </c>
      <c r="O487" t="s">
        <v>34</v>
      </c>
      <c r="P487" t="s">
        <v>35</v>
      </c>
      <c r="Q487">
        <v>599</v>
      </c>
      <c r="R487">
        <v>589</v>
      </c>
    </row>
    <row r="488" spans="1:18">
      <c r="A488" t="s">
        <v>563</v>
      </c>
      <c r="B488" t="s">
        <v>73</v>
      </c>
      <c r="C488" t="s">
        <v>122</v>
      </c>
      <c r="D488" s="8">
        <v>2022</v>
      </c>
      <c r="E488" s="29">
        <v>4</v>
      </c>
      <c r="F488">
        <v>6</v>
      </c>
      <c r="G488">
        <v>64</v>
      </c>
      <c r="H488">
        <v>97</v>
      </c>
      <c r="I488">
        <v>108</v>
      </c>
      <c r="J488">
        <v>6.7</v>
      </c>
      <c r="K488" t="s">
        <v>123</v>
      </c>
      <c r="L488" t="s">
        <v>59</v>
      </c>
      <c r="M488" t="s">
        <v>47</v>
      </c>
      <c r="N488" t="s">
        <v>24</v>
      </c>
      <c r="O488" t="s">
        <v>41</v>
      </c>
      <c r="P488" t="s">
        <v>35</v>
      </c>
      <c r="Q488">
        <v>699</v>
      </c>
      <c r="R488">
        <v>554</v>
      </c>
    </row>
    <row r="489" spans="1:18">
      <c r="A489" t="s">
        <v>564</v>
      </c>
      <c r="B489" t="s">
        <v>37</v>
      </c>
      <c r="C489" t="s">
        <v>38</v>
      </c>
      <c r="D489" s="8">
        <v>2021</v>
      </c>
      <c r="E489" s="29">
        <v>5</v>
      </c>
      <c r="F489">
        <v>12</v>
      </c>
      <c r="G489">
        <v>512</v>
      </c>
      <c r="H489">
        <v>80</v>
      </c>
      <c r="I489">
        <v>12</v>
      </c>
      <c r="J489">
        <v>6.1</v>
      </c>
      <c r="K489" t="s">
        <v>39</v>
      </c>
      <c r="L489" t="s">
        <v>22</v>
      </c>
      <c r="M489" t="s">
        <v>23</v>
      </c>
      <c r="N489" t="s">
        <v>33</v>
      </c>
      <c r="O489" t="s">
        <v>84</v>
      </c>
      <c r="P489" t="s">
        <v>35</v>
      </c>
      <c r="Q489">
        <v>599</v>
      </c>
      <c r="R489">
        <v>517</v>
      </c>
    </row>
    <row r="490" spans="1:18">
      <c r="A490" t="s">
        <v>565</v>
      </c>
      <c r="B490" t="s">
        <v>77</v>
      </c>
      <c r="C490" t="s">
        <v>78</v>
      </c>
      <c r="D490" s="8">
        <v>2022</v>
      </c>
      <c r="E490" s="29">
        <v>4</v>
      </c>
      <c r="F490">
        <v>6</v>
      </c>
      <c r="G490">
        <v>256</v>
      </c>
      <c r="H490">
        <v>100</v>
      </c>
      <c r="I490">
        <v>64</v>
      </c>
      <c r="J490">
        <v>6.4</v>
      </c>
      <c r="K490" t="s">
        <v>79</v>
      </c>
      <c r="L490" t="s">
        <v>31</v>
      </c>
      <c r="M490" t="s">
        <v>23</v>
      </c>
      <c r="N490" t="s">
        <v>33</v>
      </c>
      <c r="O490" t="s">
        <v>25</v>
      </c>
      <c r="P490" t="s">
        <v>35</v>
      </c>
      <c r="Q490">
        <v>699</v>
      </c>
      <c r="R490">
        <v>675</v>
      </c>
    </row>
    <row r="491" spans="1:18">
      <c r="A491" t="s">
        <v>566</v>
      </c>
      <c r="B491" t="s">
        <v>37</v>
      </c>
      <c r="C491" t="s">
        <v>38</v>
      </c>
      <c r="D491" s="8">
        <v>2024</v>
      </c>
      <c r="E491" s="29">
        <v>2</v>
      </c>
      <c r="F491">
        <v>4</v>
      </c>
      <c r="G491">
        <v>128</v>
      </c>
      <c r="H491">
        <v>77</v>
      </c>
      <c r="I491">
        <v>50</v>
      </c>
      <c r="J491">
        <v>6.7</v>
      </c>
      <c r="K491" t="s">
        <v>39</v>
      </c>
      <c r="L491" t="s">
        <v>59</v>
      </c>
      <c r="M491" t="s">
        <v>86</v>
      </c>
      <c r="N491" t="s">
        <v>33</v>
      </c>
      <c r="O491" t="s">
        <v>25</v>
      </c>
      <c r="P491" t="s">
        <v>26</v>
      </c>
      <c r="Q491">
        <v>599</v>
      </c>
      <c r="R491">
        <v>474</v>
      </c>
    </row>
    <row r="492" spans="1:18">
      <c r="A492" t="s">
        <v>567</v>
      </c>
      <c r="B492" t="s">
        <v>54</v>
      </c>
      <c r="C492" t="s">
        <v>55</v>
      </c>
      <c r="D492" s="8">
        <v>2022</v>
      </c>
      <c r="E492" s="29">
        <v>4</v>
      </c>
      <c r="F492">
        <v>12</v>
      </c>
      <c r="G492">
        <v>512</v>
      </c>
      <c r="H492">
        <v>78</v>
      </c>
      <c r="I492">
        <v>48</v>
      </c>
      <c r="J492">
        <v>6.5</v>
      </c>
      <c r="K492" t="s">
        <v>56</v>
      </c>
      <c r="L492" t="s">
        <v>59</v>
      </c>
      <c r="M492" t="s">
        <v>86</v>
      </c>
      <c r="N492" t="s">
        <v>24</v>
      </c>
      <c r="O492" t="s">
        <v>84</v>
      </c>
      <c r="P492" t="s">
        <v>35</v>
      </c>
      <c r="Q492">
        <v>549</v>
      </c>
      <c r="R492">
        <v>539</v>
      </c>
    </row>
    <row r="493" spans="1:18">
      <c r="A493" t="s">
        <v>568</v>
      </c>
      <c r="B493" t="s">
        <v>77</v>
      </c>
      <c r="C493" t="s">
        <v>78</v>
      </c>
      <c r="D493" s="8">
        <v>2021</v>
      </c>
      <c r="E493" s="29">
        <v>5</v>
      </c>
      <c r="F493">
        <v>12</v>
      </c>
      <c r="G493">
        <v>512</v>
      </c>
      <c r="H493">
        <v>83</v>
      </c>
      <c r="I493">
        <v>64</v>
      </c>
      <c r="J493">
        <v>6.78</v>
      </c>
      <c r="K493" t="s">
        <v>79</v>
      </c>
      <c r="L493" t="s">
        <v>59</v>
      </c>
      <c r="M493" t="s">
        <v>23</v>
      </c>
      <c r="N493" t="s">
        <v>33</v>
      </c>
      <c r="O493" t="s">
        <v>52</v>
      </c>
      <c r="P493" t="s">
        <v>35</v>
      </c>
      <c r="Q493">
        <v>699</v>
      </c>
      <c r="R493">
        <v>661</v>
      </c>
    </row>
    <row r="494" spans="1:18">
      <c r="A494" t="s">
        <v>569</v>
      </c>
      <c r="B494" t="s">
        <v>37</v>
      </c>
      <c r="C494" t="s">
        <v>38</v>
      </c>
      <c r="D494" s="8">
        <v>2020</v>
      </c>
      <c r="E494" s="29">
        <v>6</v>
      </c>
      <c r="F494">
        <v>8</v>
      </c>
      <c r="G494">
        <v>128</v>
      </c>
      <c r="H494">
        <v>86</v>
      </c>
      <c r="I494">
        <v>108</v>
      </c>
      <c r="J494">
        <v>6.78</v>
      </c>
      <c r="K494" t="s">
        <v>39</v>
      </c>
      <c r="L494" t="s">
        <v>57</v>
      </c>
      <c r="M494" t="s">
        <v>32</v>
      </c>
      <c r="N494" t="s">
        <v>33</v>
      </c>
      <c r="O494" t="s">
        <v>41</v>
      </c>
      <c r="P494" t="s">
        <v>26</v>
      </c>
      <c r="Q494">
        <v>599</v>
      </c>
      <c r="R494">
        <v>311</v>
      </c>
    </row>
    <row r="495" spans="1:18">
      <c r="A495" t="s">
        <v>570</v>
      </c>
      <c r="B495" t="s">
        <v>68</v>
      </c>
      <c r="C495" t="s">
        <v>81</v>
      </c>
      <c r="D495" s="8">
        <v>2023</v>
      </c>
      <c r="E495" s="29">
        <v>3</v>
      </c>
      <c r="F495">
        <v>4</v>
      </c>
      <c r="G495">
        <v>512</v>
      </c>
      <c r="H495">
        <v>78</v>
      </c>
      <c r="I495">
        <v>108</v>
      </c>
      <c r="J495">
        <v>6.67</v>
      </c>
      <c r="K495" t="s">
        <v>82</v>
      </c>
      <c r="L495" t="s">
        <v>31</v>
      </c>
      <c r="M495" t="s">
        <v>60</v>
      </c>
      <c r="N495" t="s">
        <v>33</v>
      </c>
      <c r="O495" t="s">
        <v>84</v>
      </c>
      <c r="P495" t="s">
        <v>26</v>
      </c>
      <c r="Q495">
        <v>299</v>
      </c>
      <c r="R495">
        <v>289</v>
      </c>
    </row>
    <row r="496" spans="1:18">
      <c r="A496" t="s">
        <v>571</v>
      </c>
      <c r="B496" t="s">
        <v>28</v>
      </c>
      <c r="C496" t="s">
        <v>29</v>
      </c>
      <c r="D496" s="8">
        <v>2023</v>
      </c>
      <c r="E496" s="29">
        <v>3</v>
      </c>
      <c r="F496">
        <v>4</v>
      </c>
      <c r="G496">
        <v>64</v>
      </c>
      <c r="H496">
        <v>90</v>
      </c>
      <c r="I496">
        <v>108</v>
      </c>
      <c r="J496">
        <v>6.4</v>
      </c>
      <c r="K496" t="s">
        <v>30</v>
      </c>
      <c r="L496" t="s">
        <v>31</v>
      </c>
      <c r="M496" t="s">
        <v>23</v>
      </c>
      <c r="N496" t="s">
        <v>24</v>
      </c>
      <c r="O496" t="s">
        <v>48</v>
      </c>
      <c r="P496" t="s">
        <v>35</v>
      </c>
      <c r="Q496">
        <v>599</v>
      </c>
      <c r="R496">
        <v>535</v>
      </c>
    </row>
    <row r="497" spans="1:18">
      <c r="A497" t="s">
        <v>572</v>
      </c>
      <c r="B497" t="s">
        <v>37</v>
      </c>
      <c r="C497" t="s">
        <v>38</v>
      </c>
      <c r="D497" s="8">
        <v>2020</v>
      </c>
      <c r="E497" s="29">
        <v>6</v>
      </c>
      <c r="F497">
        <v>6</v>
      </c>
      <c r="G497">
        <v>128</v>
      </c>
      <c r="H497">
        <v>85</v>
      </c>
      <c r="I497">
        <v>48</v>
      </c>
      <c r="J497">
        <v>6.4</v>
      </c>
      <c r="K497" t="s">
        <v>39</v>
      </c>
      <c r="L497" t="s">
        <v>31</v>
      </c>
      <c r="M497" t="s">
        <v>23</v>
      </c>
      <c r="N497" t="s">
        <v>33</v>
      </c>
      <c r="O497" t="s">
        <v>41</v>
      </c>
      <c r="P497" t="s">
        <v>35</v>
      </c>
      <c r="Q497">
        <v>599</v>
      </c>
      <c r="R497">
        <v>581</v>
      </c>
    </row>
    <row r="498" spans="1:18">
      <c r="A498" t="s">
        <v>573</v>
      </c>
      <c r="B498" t="s">
        <v>77</v>
      </c>
      <c r="C498" t="s">
        <v>78</v>
      </c>
      <c r="D498" s="8">
        <v>2021</v>
      </c>
      <c r="E498" s="29">
        <v>5</v>
      </c>
      <c r="F498">
        <v>4</v>
      </c>
      <c r="G498">
        <v>128</v>
      </c>
      <c r="H498">
        <v>83</v>
      </c>
      <c r="I498">
        <v>48</v>
      </c>
      <c r="J498">
        <v>6.5</v>
      </c>
      <c r="K498" t="s">
        <v>79</v>
      </c>
      <c r="L498" t="s">
        <v>59</v>
      </c>
      <c r="M498" t="s">
        <v>32</v>
      </c>
      <c r="N498" t="s">
        <v>24</v>
      </c>
      <c r="O498" t="s">
        <v>34</v>
      </c>
      <c r="P498" t="s">
        <v>26</v>
      </c>
      <c r="Q498">
        <v>699</v>
      </c>
      <c r="R498">
        <v>571</v>
      </c>
    </row>
    <row r="499" spans="1:18">
      <c r="A499" t="s">
        <v>574</v>
      </c>
      <c r="B499" t="s">
        <v>64</v>
      </c>
      <c r="C499" t="s">
        <v>65</v>
      </c>
      <c r="D499" s="8">
        <v>2024</v>
      </c>
      <c r="E499" s="29">
        <v>2</v>
      </c>
      <c r="F499">
        <v>12</v>
      </c>
      <c r="G499">
        <v>512</v>
      </c>
      <c r="H499">
        <v>83</v>
      </c>
      <c r="I499">
        <v>108</v>
      </c>
      <c r="J499">
        <v>6.7</v>
      </c>
      <c r="K499" t="s">
        <v>66</v>
      </c>
      <c r="L499" t="s">
        <v>59</v>
      </c>
      <c r="M499" t="s">
        <v>40</v>
      </c>
      <c r="N499" t="s">
        <v>24</v>
      </c>
      <c r="O499" t="s">
        <v>61</v>
      </c>
      <c r="P499" t="s">
        <v>35</v>
      </c>
      <c r="Q499">
        <v>499</v>
      </c>
      <c r="R499">
        <v>489</v>
      </c>
    </row>
    <row r="500" spans="1:18">
      <c r="A500" t="s">
        <v>575</v>
      </c>
      <c r="B500" t="s">
        <v>19</v>
      </c>
      <c r="C500" t="s">
        <v>20</v>
      </c>
      <c r="D500" s="8">
        <v>2023</v>
      </c>
      <c r="E500" s="29">
        <v>3</v>
      </c>
      <c r="F500">
        <v>6</v>
      </c>
      <c r="G500">
        <v>128</v>
      </c>
      <c r="H500">
        <v>81</v>
      </c>
      <c r="I500">
        <v>64</v>
      </c>
      <c r="J500">
        <v>6.78</v>
      </c>
      <c r="K500" t="s">
        <v>21</v>
      </c>
      <c r="L500" t="s">
        <v>59</v>
      </c>
      <c r="M500" t="s">
        <v>32</v>
      </c>
      <c r="N500" t="s">
        <v>33</v>
      </c>
      <c r="O500" t="s">
        <v>52</v>
      </c>
      <c r="P500" t="s">
        <v>26</v>
      </c>
      <c r="Q500">
        <v>599</v>
      </c>
      <c r="R500">
        <v>500</v>
      </c>
    </row>
    <row r="501" spans="1:18">
      <c r="A501" t="s">
        <v>576</v>
      </c>
      <c r="B501" t="s">
        <v>19</v>
      </c>
      <c r="C501" t="s">
        <v>20</v>
      </c>
      <c r="D501" s="8">
        <v>2021</v>
      </c>
      <c r="E501" s="29">
        <v>5</v>
      </c>
      <c r="F501">
        <v>6</v>
      </c>
      <c r="G501">
        <v>128</v>
      </c>
      <c r="H501">
        <v>92</v>
      </c>
      <c r="I501">
        <v>48</v>
      </c>
      <c r="J501">
        <v>6.7</v>
      </c>
      <c r="K501" t="s">
        <v>21</v>
      </c>
      <c r="L501" t="s">
        <v>22</v>
      </c>
      <c r="M501" t="s">
        <v>60</v>
      </c>
      <c r="N501" t="s">
        <v>24</v>
      </c>
      <c r="O501" t="s">
        <v>61</v>
      </c>
      <c r="P501" t="s">
        <v>26</v>
      </c>
      <c r="Q501">
        <v>599</v>
      </c>
      <c r="R501">
        <v>397</v>
      </c>
    </row>
    <row r="502" spans="1:18">
      <c r="A502" t="s">
        <v>577</v>
      </c>
      <c r="B502" t="s">
        <v>54</v>
      </c>
      <c r="C502" t="s">
        <v>55</v>
      </c>
      <c r="D502" s="8">
        <v>2023</v>
      </c>
      <c r="E502" s="29">
        <v>3</v>
      </c>
      <c r="F502">
        <v>4</v>
      </c>
      <c r="G502">
        <v>128</v>
      </c>
      <c r="H502">
        <v>97</v>
      </c>
      <c r="I502">
        <v>64</v>
      </c>
      <c r="J502">
        <v>6.78</v>
      </c>
      <c r="K502" t="s">
        <v>56</v>
      </c>
      <c r="L502" t="s">
        <v>57</v>
      </c>
      <c r="M502" t="s">
        <v>86</v>
      </c>
      <c r="N502" t="s">
        <v>33</v>
      </c>
      <c r="O502" t="s">
        <v>61</v>
      </c>
      <c r="P502" t="s">
        <v>35</v>
      </c>
      <c r="Q502">
        <v>549</v>
      </c>
      <c r="R502">
        <v>329</v>
      </c>
    </row>
    <row r="503" spans="1:18">
      <c r="A503" t="s">
        <v>578</v>
      </c>
      <c r="B503" t="s">
        <v>64</v>
      </c>
      <c r="C503" t="s">
        <v>65</v>
      </c>
      <c r="D503" s="8">
        <v>2021</v>
      </c>
      <c r="E503" s="29">
        <v>5</v>
      </c>
      <c r="F503">
        <v>12</v>
      </c>
      <c r="G503">
        <v>256</v>
      </c>
      <c r="H503">
        <v>77</v>
      </c>
      <c r="I503">
        <v>50</v>
      </c>
      <c r="J503">
        <v>6.78</v>
      </c>
      <c r="K503" t="s">
        <v>66</v>
      </c>
      <c r="L503" t="s">
        <v>59</v>
      </c>
      <c r="M503" t="s">
        <v>23</v>
      </c>
      <c r="N503" t="s">
        <v>24</v>
      </c>
      <c r="O503" t="s">
        <v>48</v>
      </c>
      <c r="P503" t="s">
        <v>35</v>
      </c>
      <c r="Q503">
        <v>499</v>
      </c>
      <c r="R503">
        <v>468</v>
      </c>
    </row>
    <row r="504" spans="1:18">
      <c r="A504" t="s">
        <v>579</v>
      </c>
      <c r="B504" t="s">
        <v>89</v>
      </c>
      <c r="C504" t="s">
        <v>115</v>
      </c>
      <c r="D504" s="8">
        <v>2022</v>
      </c>
      <c r="E504" s="29">
        <v>4</v>
      </c>
      <c r="F504">
        <v>12</v>
      </c>
      <c r="G504">
        <v>128</v>
      </c>
      <c r="H504">
        <v>97</v>
      </c>
      <c r="I504">
        <v>48</v>
      </c>
      <c r="J504">
        <v>6.5</v>
      </c>
      <c r="K504" t="s">
        <v>116</v>
      </c>
      <c r="L504" t="s">
        <v>59</v>
      </c>
      <c r="M504" t="s">
        <v>86</v>
      </c>
      <c r="N504" t="s">
        <v>33</v>
      </c>
      <c r="O504" t="s">
        <v>48</v>
      </c>
      <c r="P504" t="s">
        <v>26</v>
      </c>
      <c r="Q504">
        <v>999</v>
      </c>
      <c r="R504">
        <v>835</v>
      </c>
    </row>
    <row r="505" spans="1:18">
      <c r="A505" t="s">
        <v>580</v>
      </c>
      <c r="B505" t="s">
        <v>64</v>
      </c>
      <c r="C505" t="s">
        <v>65</v>
      </c>
      <c r="D505" s="8">
        <v>2021</v>
      </c>
      <c r="E505" s="29">
        <v>5</v>
      </c>
      <c r="F505">
        <v>6</v>
      </c>
      <c r="G505">
        <v>256</v>
      </c>
      <c r="H505">
        <v>81</v>
      </c>
      <c r="I505">
        <v>12</v>
      </c>
      <c r="J505">
        <v>6.2</v>
      </c>
      <c r="K505" t="s">
        <v>66</v>
      </c>
      <c r="L505" t="s">
        <v>57</v>
      </c>
      <c r="M505" t="s">
        <v>86</v>
      </c>
      <c r="N505" t="s">
        <v>24</v>
      </c>
      <c r="O505" t="s">
        <v>52</v>
      </c>
      <c r="P505" t="s">
        <v>35</v>
      </c>
      <c r="Q505">
        <v>499</v>
      </c>
      <c r="R505">
        <v>289</v>
      </c>
    </row>
    <row r="506" spans="1:18">
      <c r="A506" t="s">
        <v>581</v>
      </c>
      <c r="B506" t="s">
        <v>54</v>
      </c>
      <c r="C506" t="s">
        <v>55</v>
      </c>
      <c r="D506" s="8">
        <v>2020</v>
      </c>
      <c r="E506" s="29">
        <v>6</v>
      </c>
      <c r="F506">
        <v>6</v>
      </c>
      <c r="G506">
        <v>256</v>
      </c>
      <c r="H506">
        <v>100</v>
      </c>
      <c r="I506">
        <v>50</v>
      </c>
      <c r="J506">
        <v>6.2</v>
      </c>
      <c r="K506" t="s">
        <v>56</v>
      </c>
      <c r="L506" t="s">
        <v>31</v>
      </c>
      <c r="M506" t="s">
        <v>47</v>
      </c>
      <c r="N506" t="s">
        <v>33</v>
      </c>
      <c r="O506" t="s">
        <v>61</v>
      </c>
      <c r="P506" t="s">
        <v>26</v>
      </c>
      <c r="Q506">
        <v>549</v>
      </c>
      <c r="R506">
        <v>539</v>
      </c>
    </row>
    <row r="507" spans="1:18">
      <c r="A507" t="s">
        <v>582</v>
      </c>
      <c r="B507" t="s">
        <v>68</v>
      </c>
      <c r="C507" t="s">
        <v>69</v>
      </c>
      <c r="D507" s="8">
        <v>2022</v>
      </c>
      <c r="E507" s="29">
        <v>4</v>
      </c>
      <c r="F507">
        <v>8</v>
      </c>
      <c r="G507">
        <v>512</v>
      </c>
      <c r="H507">
        <v>100</v>
      </c>
      <c r="I507">
        <v>108</v>
      </c>
      <c r="J507">
        <v>6.4</v>
      </c>
      <c r="K507" t="s">
        <v>70</v>
      </c>
      <c r="L507" t="s">
        <v>22</v>
      </c>
      <c r="M507" t="s">
        <v>32</v>
      </c>
      <c r="N507" t="s">
        <v>24</v>
      </c>
      <c r="O507" t="s">
        <v>61</v>
      </c>
      <c r="P507" t="s">
        <v>35</v>
      </c>
      <c r="Q507">
        <v>399</v>
      </c>
      <c r="R507">
        <v>389</v>
      </c>
    </row>
    <row r="508" spans="1:18">
      <c r="A508" t="s">
        <v>583</v>
      </c>
      <c r="B508" t="s">
        <v>68</v>
      </c>
      <c r="C508" t="s">
        <v>81</v>
      </c>
      <c r="D508" s="8">
        <v>2020</v>
      </c>
      <c r="E508" s="29">
        <v>6</v>
      </c>
      <c r="F508">
        <v>6</v>
      </c>
      <c r="G508">
        <v>256</v>
      </c>
      <c r="H508">
        <v>98</v>
      </c>
      <c r="I508">
        <v>108</v>
      </c>
      <c r="J508">
        <v>6.1</v>
      </c>
      <c r="K508" t="s">
        <v>82</v>
      </c>
      <c r="L508" t="s">
        <v>59</v>
      </c>
      <c r="M508" t="s">
        <v>47</v>
      </c>
      <c r="N508" t="s">
        <v>33</v>
      </c>
      <c r="O508" t="s">
        <v>52</v>
      </c>
      <c r="P508" t="s">
        <v>35</v>
      </c>
      <c r="Q508">
        <v>299</v>
      </c>
      <c r="R508">
        <v>289</v>
      </c>
    </row>
    <row r="509" spans="1:18">
      <c r="A509" t="s">
        <v>584</v>
      </c>
      <c r="B509" t="s">
        <v>28</v>
      </c>
      <c r="C509" t="s">
        <v>29</v>
      </c>
      <c r="D509" s="8">
        <v>2021</v>
      </c>
      <c r="E509" s="29">
        <v>5</v>
      </c>
      <c r="F509">
        <v>12</v>
      </c>
      <c r="G509">
        <v>256</v>
      </c>
      <c r="H509">
        <v>93</v>
      </c>
      <c r="I509">
        <v>64</v>
      </c>
      <c r="J509">
        <v>6.78</v>
      </c>
      <c r="K509" t="s">
        <v>30</v>
      </c>
      <c r="L509" t="s">
        <v>31</v>
      </c>
      <c r="M509" t="s">
        <v>40</v>
      </c>
      <c r="N509" t="s">
        <v>24</v>
      </c>
      <c r="O509" t="s">
        <v>25</v>
      </c>
      <c r="P509" t="s">
        <v>35</v>
      </c>
      <c r="Q509">
        <v>599</v>
      </c>
      <c r="R509">
        <v>589</v>
      </c>
    </row>
    <row r="510" spans="1:18">
      <c r="A510" t="s">
        <v>585</v>
      </c>
      <c r="B510" t="s">
        <v>73</v>
      </c>
      <c r="C510" t="s">
        <v>105</v>
      </c>
      <c r="D510" s="8">
        <v>2024</v>
      </c>
      <c r="E510" s="29">
        <v>2</v>
      </c>
      <c r="F510">
        <v>6</v>
      </c>
      <c r="G510">
        <v>256</v>
      </c>
      <c r="H510">
        <v>76</v>
      </c>
      <c r="I510">
        <v>108</v>
      </c>
      <c r="J510">
        <v>6.1</v>
      </c>
      <c r="K510" t="s">
        <v>75</v>
      </c>
      <c r="L510" t="s">
        <v>22</v>
      </c>
      <c r="M510" t="s">
        <v>60</v>
      </c>
      <c r="N510" t="s">
        <v>33</v>
      </c>
      <c r="O510" t="s">
        <v>25</v>
      </c>
      <c r="P510" t="s">
        <v>35</v>
      </c>
      <c r="Q510">
        <v>899</v>
      </c>
      <c r="R510">
        <v>614</v>
      </c>
    </row>
    <row r="511" spans="1:18">
      <c r="A511" t="s">
        <v>586</v>
      </c>
      <c r="B511" t="s">
        <v>77</v>
      </c>
      <c r="C511" t="s">
        <v>78</v>
      </c>
      <c r="D511" s="8">
        <v>2023</v>
      </c>
      <c r="E511" s="29">
        <v>3</v>
      </c>
      <c r="F511">
        <v>6</v>
      </c>
      <c r="G511">
        <v>256</v>
      </c>
      <c r="H511">
        <v>88</v>
      </c>
      <c r="I511">
        <v>12</v>
      </c>
      <c r="J511">
        <v>6.78</v>
      </c>
      <c r="K511" t="s">
        <v>79</v>
      </c>
      <c r="L511" t="s">
        <v>59</v>
      </c>
      <c r="M511" t="s">
        <v>60</v>
      </c>
      <c r="N511" t="s">
        <v>33</v>
      </c>
      <c r="O511" t="s">
        <v>52</v>
      </c>
      <c r="P511" t="s">
        <v>35</v>
      </c>
      <c r="Q511">
        <v>699</v>
      </c>
      <c r="R511">
        <v>590</v>
      </c>
    </row>
    <row r="512" spans="1:18">
      <c r="A512" t="s">
        <v>587</v>
      </c>
      <c r="B512" t="s">
        <v>44</v>
      </c>
      <c r="C512" t="s">
        <v>45</v>
      </c>
      <c r="D512" s="8">
        <v>2023</v>
      </c>
      <c r="E512" s="29">
        <v>3</v>
      </c>
      <c r="F512">
        <v>6</v>
      </c>
      <c r="G512">
        <v>256</v>
      </c>
      <c r="H512">
        <v>77</v>
      </c>
      <c r="I512">
        <v>64</v>
      </c>
      <c r="J512">
        <v>6.7</v>
      </c>
      <c r="K512" t="s">
        <v>46</v>
      </c>
      <c r="L512" t="s">
        <v>59</v>
      </c>
      <c r="M512" t="s">
        <v>47</v>
      </c>
      <c r="N512" t="s">
        <v>33</v>
      </c>
      <c r="O512" t="s">
        <v>34</v>
      </c>
      <c r="P512" t="s">
        <v>26</v>
      </c>
      <c r="Q512">
        <v>799</v>
      </c>
      <c r="R512">
        <v>692</v>
      </c>
    </row>
    <row r="513" spans="1:18">
      <c r="A513" t="s">
        <v>588</v>
      </c>
      <c r="B513" t="s">
        <v>64</v>
      </c>
      <c r="C513" t="s">
        <v>65</v>
      </c>
      <c r="D513" s="8">
        <v>2023</v>
      </c>
      <c r="E513" s="29">
        <v>3</v>
      </c>
      <c r="F513">
        <v>8</v>
      </c>
      <c r="G513">
        <v>64</v>
      </c>
      <c r="H513">
        <v>90</v>
      </c>
      <c r="I513">
        <v>64</v>
      </c>
      <c r="J513">
        <v>6.5</v>
      </c>
      <c r="K513" t="s">
        <v>66</v>
      </c>
      <c r="L513" t="s">
        <v>22</v>
      </c>
      <c r="M513" t="s">
        <v>23</v>
      </c>
      <c r="N513" t="s">
        <v>24</v>
      </c>
      <c r="O513" t="s">
        <v>25</v>
      </c>
      <c r="P513" t="s">
        <v>26</v>
      </c>
      <c r="Q513">
        <v>499</v>
      </c>
      <c r="R513">
        <v>349</v>
      </c>
    </row>
    <row r="514" spans="1:18">
      <c r="A514" t="s">
        <v>589</v>
      </c>
      <c r="B514" t="s">
        <v>77</v>
      </c>
      <c r="C514" t="s">
        <v>78</v>
      </c>
      <c r="D514" s="8">
        <v>2020</v>
      </c>
      <c r="E514" s="29">
        <v>6</v>
      </c>
      <c r="F514">
        <v>4</v>
      </c>
      <c r="G514">
        <v>128</v>
      </c>
      <c r="H514">
        <v>98</v>
      </c>
      <c r="I514">
        <v>48</v>
      </c>
      <c r="J514">
        <v>6.1</v>
      </c>
      <c r="K514" t="s">
        <v>79</v>
      </c>
      <c r="L514" t="s">
        <v>22</v>
      </c>
      <c r="M514" t="s">
        <v>40</v>
      </c>
      <c r="N514" t="s">
        <v>33</v>
      </c>
      <c r="O514" t="s">
        <v>87</v>
      </c>
      <c r="P514" t="s">
        <v>26</v>
      </c>
      <c r="Q514">
        <v>699</v>
      </c>
      <c r="R514">
        <v>511</v>
      </c>
    </row>
    <row r="515" spans="1:18">
      <c r="A515" t="s">
        <v>590</v>
      </c>
      <c r="B515" t="s">
        <v>77</v>
      </c>
      <c r="C515" t="s">
        <v>78</v>
      </c>
      <c r="D515" s="8">
        <v>2023</v>
      </c>
      <c r="E515" s="29">
        <v>3</v>
      </c>
      <c r="F515">
        <v>6</v>
      </c>
      <c r="G515">
        <v>256</v>
      </c>
      <c r="H515">
        <v>88</v>
      </c>
      <c r="I515">
        <v>50</v>
      </c>
      <c r="J515">
        <v>6.5</v>
      </c>
      <c r="K515" t="s">
        <v>79</v>
      </c>
      <c r="L515" t="s">
        <v>59</v>
      </c>
      <c r="M515" t="s">
        <v>47</v>
      </c>
      <c r="N515" t="s">
        <v>24</v>
      </c>
      <c r="O515" t="s">
        <v>34</v>
      </c>
      <c r="P515" t="s">
        <v>26</v>
      </c>
      <c r="Q515">
        <v>699</v>
      </c>
      <c r="R515">
        <v>579</v>
      </c>
    </row>
    <row r="516" spans="1:18">
      <c r="A516" t="s">
        <v>591</v>
      </c>
      <c r="B516" t="s">
        <v>28</v>
      </c>
      <c r="C516" t="s">
        <v>29</v>
      </c>
      <c r="D516" s="8">
        <v>2020</v>
      </c>
      <c r="E516" s="29">
        <v>6</v>
      </c>
      <c r="F516">
        <v>12</v>
      </c>
      <c r="G516">
        <v>512</v>
      </c>
      <c r="H516">
        <v>86</v>
      </c>
      <c r="I516">
        <v>48</v>
      </c>
      <c r="J516">
        <v>6.1</v>
      </c>
      <c r="K516" t="s">
        <v>30</v>
      </c>
      <c r="L516" t="s">
        <v>22</v>
      </c>
      <c r="M516" t="s">
        <v>32</v>
      </c>
      <c r="N516" t="s">
        <v>33</v>
      </c>
      <c r="O516" t="s">
        <v>87</v>
      </c>
      <c r="P516" t="s">
        <v>26</v>
      </c>
      <c r="Q516">
        <v>599</v>
      </c>
      <c r="R516">
        <v>531</v>
      </c>
    </row>
    <row r="517" spans="1:18">
      <c r="A517" t="s">
        <v>592</v>
      </c>
      <c r="B517" t="s">
        <v>28</v>
      </c>
      <c r="C517" t="s">
        <v>29</v>
      </c>
      <c r="D517" s="8">
        <v>2024</v>
      </c>
      <c r="E517" s="29">
        <v>2</v>
      </c>
      <c r="F517">
        <v>8</v>
      </c>
      <c r="G517">
        <v>256</v>
      </c>
      <c r="H517">
        <v>88</v>
      </c>
      <c r="I517">
        <v>48</v>
      </c>
      <c r="J517">
        <v>6.7</v>
      </c>
      <c r="K517" t="s">
        <v>30</v>
      </c>
      <c r="L517" t="s">
        <v>22</v>
      </c>
      <c r="M517" t="s">
        <v>47</v>
      </c>
      <c r="N517" t="s">
        <v>33</v>
      </c>
      <c r="O517" t="s">
        <v>25</v>
      </c>
      <c r="P517" t="s">
        <v>35</v>
      </c>
      <c r="Q517">
        <v>599</v>
      </c>
      <c r="R517">
        <v>482</v>
      </c>
    </row>
    <row r="518" spans="1:18">
      <c r="A518" t="s">
        <v>593</v>
      </c>
      <c r="B518" t="s">
        <v>44</v>
      </c>
      <c r="C518" t="s">
        <v>45</v>
      </c>
      <c r="D518" s="8">
        <v>2021</v>
      </c>
      <c r="E518" s="29">
        <v>5</v>
      </c>
      <c r="F518">
        <v>8</v>
      </c>
      <c r="G518">
        <v>128</v>
      </c>
      <c r="H518">
        <v>87</v>
      </c>
      <c r="I518">
        <v>108</v>
      </c>
      <c r="J518">
        <v>6.78</v>
      </c>
      <c r="K518" t="s">
        <v>46</v>
      </c>
      <c r="L518" t="s">
        <v>22</v>
      </c>
      <c r="M518" t="s">
        <v>32</v>
      </c>
      <c r="N518" t="s">
        <v>24</v>
      </c>
      <c r="O518" t="s">
        <v>61</v>
      </c>
      <c r="P518" t="s">
        <v>35</v>
      </c>
      <c r="Q518">
        <v>799</v>
      </c>
      <c r="R518">
        <v>530</v>
      </c>
    </row>
    <row r="519" spans="1:18">
      <c r="A519" t="s">
        <v>594</v>
      </c>
      <c r="B519" t="s">
        <v>54</v>
      </c>
      <c r="C519" t="s">
        <v>55</v>
      </c>
      <c r="D519" s="8">
        <v>2024</v>
      </c>
      <c r="E519" s="29">
        <v>2</v>
      </c>
      <c r="F519">
        <v>4</v>
      </c>
      <c r="G519">
        <v>64</v>
      </c>
      <c r="H519">
        <v>100</v>
      </c>
      <c r="I519">
        <v>108</v>
      </c>
      <c r="J519">
        <v>6.67</v>
      </c>
      <c r="K519" t="s">
        <v>56</v>
      </c>
      <c r="L519" t="s">
        <v>31</v>
      </c>
      <c r="M519" t="s">
        <v>47</v>
      </c>
      <c r="N519" t="s">
        <v>33</v>
      </c>
      <c r="O519" t="s">
        <v>87</v>
      </c>
      <c r="P519" t="s">
        <v>35</v>
      </c>
      <c r="Q519">
        <v>549</v>
      </c>
      <c r="R519">
        <v>487</v>
      </c>
    </row>
    <row r="520" spans="1:18">
      <c r="A520" t="s">
        <v>595</v>
      </c>
      <c r="B520" t="s">
        <v>19</v>
      </c>
      <c r="C520" t="s">
        <v>20</v>
      </c>
      <c r="D520" s="8">
        <v>2021</v>
      </c>
      <c r="E520" s="29">
        <v>5</v>
      </c>
      <c r="F520">
        <v>4</v>
      </c>
      <c r="G520">
        <v>64</v>
      </c>
      <c r="H520">
        <v>75</v>
      </c>
      <c r="I520">
        <v>64</v>
      </c>
      <c r="J520">
        <v>6.4</v>
      </c>
      <c r="K520" t="s">
        <v>21</v>
      </c>
      <c r="L520" t="s">
        <v>57</v>
      </c>
      <c r="M520" t="s">
        <v>60</v>
      </c>
      <c r="N520" t="s">
        <v>33</v>
      </c>
      <c r="O520" t="s">
        <v>61</v>
      </c>
      <c r="P520" t="s">
        <v>35</v>
      </c>
      <c r="Q520">
        <v>599</v>
      </c>
      <c r="R520">
        <v>306</v>
      </c>
    </row>
    <row r="521" spans="1:18">
      <c r="A521" t="s">
        <v>596</v>
      </c>
      <c r="B521" t="s">
        <v>28</v>
      </c>
      <c r="C521" t="s">
        <v>29</v>
      </c>
      <c r="D521" s="8">
        <v>2023</v>
      </c>
      <c r="E521" s="29">
        <v>3</v>
      </c>
      <c r="F521">
        <v>12</v>
      </c>
      <c r="G521">
        <v>128</v>
      </c>
      <c r="H521">
        <v>81</v>
      </c>
      <c r="I521">
        <v>64</v>
      </c>
      <c r="J521">
        <v>6.4</v>
      </c>
      <c r="K521" t="s">
        <v>30</v>
      </c>
      <c r="L521" t="s">
        <v>59</v>
      </c>
      <c r="M521" t="s">
        <v>60</v>
      </c>
      <c r="N521" t="s">
        <v>24</v>
      </c>
      <c r="O521" t="s">
        <v>87</v>
      </c>
      <c r="P521" t="s">
        <v>35</v>
      </c>
      <c r="Q521">
        <v>599</v>
      </c>
      <c r="R521">
        <v>493</v>
      </c>
    </row>
    <row r="522" spans="1:18">
      <c r="A522" t="s">
        <v>597</v>
      </c>
      <c r="B522" t="s">
        <v>44</v>
      </c>
      <c r="C522" t="s">
        <v>45</v>
      </c>
      <c r="D522" s="8">
        <v>2024</v>
      </c>
      <c r="E522" s="29">
        <v>2</v>
      </c>
      <c r="F522">
        <v>12</v>
      </c>
      <c r="G522">
        <v>128</v>
      </c>
      <c r="H522">
        <v>80</v>
      </c>
      <c r="I522">
        <v>50</v>
      </c>
      <c r="J522">
        <v>6.5</v>
      </c>
      <c r="K522" t="s">
        <v>46</v>
      </c>
      <c r="L522" t="s">
        <v>22</v>
      </c>
      <c r="M522" t="s">
        <v>47</v>
      </c>
      <c r="N522" t="s">
        <v>33</v>
      </c>
      <c r="O522" t="s">
        <v>87</v>
      </c>
      <c r="P522" t="s">
        <v>35</v>
      </c>
      <c r="Q522">
        <v>799</v>
      </c>
      <c r="R522">
        <v>558</v>
      </c>
    </row>
    <row r="523" spans="1:18">
      <c r="A523" t="s">
        <v>598</v>
      </c>
      <c r="B523" t="s">
        <v>28</v>
      </c>
      <c r="C523" t="s">
        <v>29</v>
      </c>
      <c r="D523" s="8">
        <v>2022</v>
      </c>
      <c r="E523" s="29">
        <v>4</v>
      </c>
      <c r="F523">
        <v>6</v>
      </c>
      <c r="G523">
        <v>64</v>
      </c>
      <c r="H523">
        <v>99</v>
      </c>
      <c r="I523">
        <v>12</v>
      </c>
      <c r="J523">
        <v>6.5</v>
      </c>
      <c r="K523" t="s">
        <v>30</v>
      </c>
      <c r="L523" t="s">
        <v>22</v>
      </c>
      <c r="M523" t="s">
        <v>47</v>
      </c>
      <c r="N523" t="s">
        <v>33</v>
      </c>
      <c r="O523" t="s">
        <v>61</v>
      </c>
      <c r="P523" t="s">
        <v>35</v>
      </c>
      <c r="Q523">
        <v>599</v>
      </c>
      <c r="R523">
        <v>394</v>
      </c>
    </row>
    <row r="524" spans="1:18">
      <c r="A524" t="s">
        <v>599</v>
      </c>
      <c r="B524" t="s">
        <v>37</v>
      </c>
      <c r="C524" t="s">
        <v>38</v>
      </c>
      <c r="D524" s="8">
        <v>2020</v>
      </c>
      <c r="E524" s="29">
        <v>6</v>
      </c>
      <c r="F524">
        <v>6</v>
      </c>
      <c r="G524">
        <v>128</v>
      </c>
      <c r="H524">
        <v>77</v>
      </c>
      <c r="I524">
        <v>64</v>
      </c>
      <c r="J524">
        <v>6.4</v>
      </c>
      <c r="K524" t="s">
        <v>39</v>
      </c>
      <c r="L524" t="s">
        <v>22</v>
      </c>
      <c r="M524" t="s">
        <v>40</v>
      </c>
      <c r="N524" t="s">
        <v>24</v>
      </c>
      <c r="O524" t="s">
        <v>87</v>
      </c>
      <c r="P524" t="s">
        <v>35</v>
      </c>
      <c r="Q524">
        <v>599</v>
      </c>
      <c r="R524">
        <v>407</v>
      </c>
    </row>
    <row r="525" spans="1:18">
      <c r="A525" t="s">
        <v>600</v>
      </c>
      <c r="B525" t="s">
        <v>54</v>
      </c>
      <c r="C525" t="s">
        <v>55</v>
      </c>
      <c r="D525" s="8">
        <v>2023</v>
      </c>
      <c r="E525" s="29">
        <v>3</v>
      </c>
      <c r="F525">
        <v>4</v>
      </c>
      <c r="G525">
        <v>512</v>
      </c>
      <c r="H525">
        <v>83</v>
      </c>
      <c r="I525">
        <v>108</v>
      </c>
      <c r="J525">
        <v>6.1</v>
      </c>
      <c r="K525" t="s">
        <v>56</v>
      </c>
      <c r="L525" t="s">
        <v>22</v>
      </c>
      <c r="M525" t="s">
        <v>60</v>
      </c>
      <c r="N525" t="s">
        <v>24</v>
      </c>
      <c r="O525" t="s">
        <v>41</v>
      </c>
      <c r="P525" t="s">
        <v>26</v>
      </c>
      <c r="Q525">
        <v>549</v>
      </c>
      <c r="R525">
        <v>425</v>
      </c>
    </row>
    <row r="526" spans="1:18">
      <c r="A526" t="s">
        <v>601</v>
      </c>
      <c r="B526" t="s">
        <v>64</v>
      </c>
      <c r="C526" t="s">
        <v>65</v>
      </c>
      <c r="D526" s="8">
        <v>2023</v>
      </c>
      <c r="E526" s="29">
        <v>3</v>
      </c>
      <c r="F526">
        <v>6</v>
      </c>
      <c r="G526">
        <v>64</v>
      </c>
      <c r="H526">
        <v>86</v>
      </c>
      <c r="I526">
        <v>108</v>
      </c>
      <c r="J526">
        <v>6.5</v>
      </c>
      <c r="K526" t="s">
        <v>66</v>
      </c>
      <c r="L526" t="s">
        <v>31</v>
      </c>
      <c r="M526" t="s">
        <v>40</v>
      </c>
      <c r="N526" t="s">
        <v>24</v>
      </c>
      <c r="O526" t="s">
        <v>41</v>
      </c>
      <c r="P526" t="s">
        <v>35</v>
      </c>
      <c r="Q526">
        <v>499</v>
      </c>
      <c r="R526">
        <v>440</v>
      </c>
    </row>
    <row r="527" spans="1:18">
      <c r="A527" t="s">
        <v>602</v>
      </c>
      <c r="B527" t="s">
        <v>73</v>
      </c>
      <c r="C527" t="s">
        <v>105</v>
      </c>
      <c r="D527" s="8">
        <v>2022</v>
      </c>
      <c r="E527" s="29">
        <v>4</v>
      </c>
      <c r="F527">
        <v>4</v>
      </c>
      <c r="G527">
        <v>512</v>
      </c>
      <c r="H527">
        <v>77</v>
      </c>
      <c r="I527">
        <v>64</v>
      </c>
      <c r="J527">
        <v>6.5</v>
      </c>
      <c r="K527" t="s">
        <v>75</v>
      </c>
      <c r="L527" t="s">
        <v>31</v>
      </c>
      <c r="M527" t="s">
        <v>86</v>
      </c>
      <c r="N527" t="s">
        <v>33</v>
      </c>
      <c r="O527" t="s">
        <v>84</v>
      </c>
      <c r="P527" t="s">
        <v>35</v>
      </c>
      <c r="Q527">
        <v>899</v>
      </c>
      <c r="R527">
        <v>889</v>
      </c>
    </row>
    <row r="528" spans="1:18">
      <c r="A528" t="s">
        <v>603</v>
      </c>
      <c r="B528" t="s">
        <v>64</v>
      </c>
      <c r="C528" t="s">
        <v>65</v>
      </c>
      <c r="D528" s="8">
        <v>2020</v>
      </c>
      <c r="E528" s="29">
        <v>6</v>
      </c>
      <c r="F528">
        <v>6</v>
      </c>
      <c r="G528">
        <v>128</v>
      </c>
      <c r="H528">
        <v>91</v>
      </c>
      <c r="I528">
        <v>108</v>
      </c>
      <c r="J528">
        <v>6.67</v>
      </c>
      <c r="K528" t="s">
        <v>66</v>
      </c>
      <c r="L528" t="s">
        <v>59</v>
      </c>
      <c r="M528" t="s">
        <v>86</v>
      </c>
      <c r="N528" t="s">
        <v>33</v>
      </c>
      <c r="O528" t="s">
        <v>25</v>
      </c>
      <c r="P528" t="s">
        <v>35</v>
      </c>
      <c r="Q528">
        <v>499</v>
      </c>
      <c r="R528">
        <v>459</v>
      </c>
    </row>
    <row r="529" spans="1:18">
      <c r="A529" t="s">
        <v>604</v>
      </c>
      <c r="B529" t="s">
        <v>37</v>
      </c>
      <c r="C529" t="s">
        <v>38</v>
      </c>
      <c r="D529" s="8">
        <v>2024</v>
      </c>
      <c r="E529" s="29">
        <v>2</v>
      </c>
      <c r="F529">
        <v>6</v>
      </c>
      <c r="G529">
        <v>128</v>
      </c>
      <c r="H529">
        <v>90</v>
      </c>
      <c r="I529">
        <v>12</v>
      </c>
      <c r="J529">
        <v>6.4</v>
      </c>
      <c r="K529" t="s">
        <v>39</v>
      </c>
      <c r="L529" t="s">
        <v>59</v>
      </c>
      <c r="M529" t="s">
        <v>23</v>
      </c>
      <c r="N529" t="s">
        <v>24</v>
      </c>
      <c r="O529" t="s">
        <v>84</v>
      </c>
      <c r="P529" t="s">
        <v>26</v>
      </c>
      <c r="Q529">
        <v>599</v>
      </c>
      <c r="R529">
        <v>509</v>
      </c>
    </row>
    <row r="530" spans="1:18">
      <c r="A530" t="s">
        <v>605</v>
      </c>
      <c r="B530" t="s">
        <v>19</v>
      </c>
      <c r="C530" t="s">
        <v>20</v>
      </c>
      <c r="D530" s="8">
        <v>2024</v>
      </c>
      <c r="E530" s="29">
        <v>2</v>
      </c>
      <c r="F530">
        <v>4</v>
      </c>
      <c r="G530">
        <v>128</v>
      </c>
      <c r="H530">
        <v>81</v>
      </c>
      <c r="I530">
        <v>64</v>
      </c>
      <c r="J530">
        <v>6.2</v>
      </c>
      <c r="K530" t="s">
        <v>21</v>
      </c>
      <c r="L530" t="s">
        <v>57</v>
      </c>
      <c r="M530" t="s">
        <v>23</v>
      </c>
      <c r="N530" t="s">
        <v>33</v>
      </c>
      <c r="O530" t="s">
        <v>84</v>
      </c>
      <c r="P530" t="s">
        <v>35</v>
      </c>
      <c r="Q530">
        <v>599</v>
      </c>
      <c r="R530">
        <v>325</v>
      </c>
    </row>
    <row r="531" spans="1:18">
      <c r="A531" t="s">
        <v>606</v>
      </c>
      <c r="B531" t="s">
        <v>44</v>
      </c>
      <c r="C531" t="s">
        <v>45</v>
      </c>
      <c r="D531" s="8">
        <v>2021</v>
      </c>
      <c r="E531" s="29">
        <v>5</v>
      </c>
      <c r="F531">
        <v>6</v>
      </c>
      <c r="G531">
        <v>512</v>
      </c>
      <c r="H531">
        <v>85</v>
      </c>
      <c r="I531">
        <v>108</v>
      </c>
      <c r="J531">
        <v>6.78</v>
      </c>
      <c r="K531" t="s">
        <v>46</v>
      </c>
      <c r="L531" t="s">
        <v>59</v>
      </c>
      <c r="M531" t="s">
        <v>32</v>
      </c>
      <c r="N531" t="s">
        <v>24</v>
      </c>
      <c r="O531" t="s">
        <v>61</v>
      </c>
      <c r="P531" t="s">
        <v>35</v>
      </c>
      <c r="Q531">
        <v>799</v>
      </c>
      <c r="R531">
        <v>708</v>
      </c>
    </row>
    <row r="532" spans="1:18">
      <c r="A532" t="s">
        <v>607</v>
      </c>
      <c r="B532" t="s">
        <v>68</v>
      </c>
      <c r="C532" t="s">
        <v>69</v>
      </c>
      <c r="D532" s="8">
        <v>2022</v>
      </c>
      <c r="E532" s="29">
        <v>4</v>
      </c>
      <c r="F532">
        <v>8</v>
      </c>
      <c r="G532">
        <v>64</v>
      </c>
      <c r="H532">
        <v>81</v>
      </c>
      <c r="I532">
        <v>108</v>
      </c>
      <c r="J532">
        <v>6.1</v>
      </c>
      <c r="K532" t="s">
        <v>70</v>
      </c>
      <c r="L532" t="s">
        <v>31</v>
      </c>
      <c r="M532" t="s">
        <v>47</v>
      </c>
      <c r="N532" t="s">
        <v>24</v>
      </c>
      <c r="O532" t="s">
        <v>52</v>
      </c>
      <c r="P532" t="s">
        <v>26</v>
      </c>
      <c r="Q532">
        <v>399</v>
      </c>
      <c r="R532">
        <v>389</v>
      </c>
    </row>
    <row r="533" spans="1:18">
      <c r="A533" t="s">
        <v>608</v>
      </c>
      <c r="B533" t="s">
        <v>89</v>
      </c>
      <c r="C533" t="s">
        <v>90</v>
      </c>
      <c r="D533" s="8">
        <v>2022</v>
      </c>
      <c r="E533" s="29">
        <v>4</v>
      </c>
      <c r="F533">
        <v>6</v>
      </c>
      <c r="G533">
        <v>64</v>
      </c>
      <c r="H533">
        <v>86</v>
      </c>
      <c r="I533">
        <v>12</v>
      </c>
      <c r="J533">
        <v>6.4</v>
      </c>
      <c r="K533" t="s">
        <v>91</v>
      </c>
      <c r="L533" t="s">
        <v>22</v>
      </c>
      <c r="M533" t="s">
        <v>47</v>
      </c>
      <c r="N533" t="s">
        <v>24</v>
      </c>
      <c r="O533" t="s">
        <v>48</v>
      </c>
      <c r="P533" t="s">
        <v>35</v>
      </c>
      <c r="Q533">
        <v>449</v>
      </c>
      <c r="R533">
        <v>310</v>
      </c>
    </row>
    <row r="534" spans="1:18">
      <c r="A534" t="s">
        <v>609</v>
      </c>
      <c r="B534" t="s">
        <v>19</v>
      </c>
      <c r="C534" t="s">
        <v>20</v>
      </c>
      <c r="D534" s="8">
        <v>2023</v>
      </c>
      <c r="E534" s="29">
        <v>3</v>
      </c>
      <c r="F534">
        <v>4</v>
      </c>
      <c r="G534">
        <v>64</v>
      </c>
      <c r="H534">
        <v>95</v>
      </c>
      <c r="I534">
        <v>64</v>
      </c>
      <c r="J534">
        <v>6.1</v>
      </c>
      <c r="K534" t="s">
        <v>21</v>
      </c>
      <c r="L534" t="s">
        <v>22</v>
      </c>
      <c r="M534" t="s">
        <v>32</v>
      </c>
      <c r="N534" t="s">
        <v>24</v>
      </c>
      <c r="O534" t="s">
        <v>34</v>
      </c>
      <c r="P534" t="s">
        <v>26</v>
      </c>
      <c r="Q534">
        <v>599</v>
      </c>
      <c r="R534">
        <v>396</v>
      </c>
    </row>
    <row r="535" spans="1:18">
      <c r="A535" t="s">
        <v>610</v>
      </c>
      <c r="B535" t="s">
        <v>89</v>
      </c>
      <c r="C535" t="s">
        <v>90</v>
      </c>
      <c r="D535" s="8">
        <v>2020</v>
      </c>
      <c r="E535" s="29">
        <v>6</v>
      </c>
      <c r="F535">
        <v>12</v>
      </c>
      <c r="G535">
        <v>256</v>
      </c>
      <c r="H535">
        <v>92</v>
      </c>
      <c r="I535">
        <v>64</v>
      </c>
      <c r="J535">
        <v>6.5</v>
      </c>
      <c r="K535" t="s">
        <v>91</v>
      </c>
      <c r="L535" t="s">
        <v>22</v>
      </c>
      <c r="M535" t="s">
        <v>23</v>
      </c>
      <c r="N535" t="s">
        <v>33</v>
      </c>
      <c r="O535" t="s">
        <v>87</v>
      </c>
      <c r="P535" t="s">
        <v>35</v>
      </c>
      <c r="Q535">
        <v>449</v>
      </c>
      <c r="R535">
        <v>406</v>
      </c>
    </row>
    <row r="536" spans="1:18">
      <c r="A536" t="s">
        <v>611</v>
      </c>
      <c r="B536" t="s">
        <v>77</v>
      </c>
      <c r="C536" t="s">
        <v>78</v>
      </c>
      <c r="D536" s="8">
        <v>2021</v>
      </c>
      <c r="E536" s="29">
        <v>5</v>
      </c>
      <c r="F536">
        <v>12</v>
      </c>
      <c r="G536">
        <v>64</v>
      </c>
      <c r="H536">
        <v>81</v>
      </c>
      <c r="I536">
        <v>50</v>
      </c>
      <c r="J536">
        <v>6.78</v>
      </c>
      <c r="K536" t="s">
        <v>79</v>
      </c>
      <c r="L536" t="s">
        <v>31</v>
      </c>
      <c r="M536" t="s">
        <v>40</v>
      </c>
      <c r="N536" t="s">
        <v>24</v>
      </c>
      <c r="O536" t="s">
        <v>48</v>
      </c>
      <c r="P536" t="s">
        <v>35</v>
      </c>
      <c r="Q536">
        <v>699</v>
      </c>
      <c r="R536">
        <v>629</v>
      </c>
    </row>
    <row r="537" spans="1:18">
      <c r="A537" t="s">
        <v>612</v>
      </c>
      <c r="B537" t="s">
        <v>68</v>
      </c>
      <c r="C537" t="s">
        <v>69</v>
      </c>
      <c r="D537" s="8">
        <v>2022</v>
      </c>
      <c r="E537" s="29">
        <v>4</v>
      </c>
      <c r="F537">
        <v>8</v>
      </c>
      <c r="G537">
        <v>64</v>
      </c>
      <c r="H537">
        <v>83</v>
      </c>
      <c r="I537">
        <v>48</v>
      </c>
      <c r="J537">
        <v>6.1</v>
      </c>
      <c r="K537" t="s">
        <v>70</v>
      </c>
      <c r="L537" t="s">
        <v>22</v>
      </c>
      <c r="M537" t="s">
        <v>40</v>
      </c>
      <c r="N537" t="s">
        <v>33</v>
      </c>
      <c r="O537" t="s">
        <v>41</v>
      </c>
      <c r="P537" t="s">
        <v>35</v>
      </c>
      <c r="Q537">
        <v>399</v>
      </c>
      <c r="R537">
        <v>312</v>
      </c>
    </row>
    <row r="538" spans="1:18">
      <c r="A538" t="s">
        <v>613</v>
      </c>
      <c r="B538" t="s">
        <v>89</v>
      </c>
      <c r="C538" t="s">
        <v>115</v>
      </c>
      <c r="D538" s="8">
        <v>2020</v>
      </c>
      <c r="E538" s="29">
        <v>6</v>
      </c>
      <c r="F538">
        <v>6</v>
      </c>
      <c r="G538">
        <v>128</v>
      </c>
      <c r="H538">
        <v>98</v>
      </c>
      <c r="I538">
        <v>50</v>
      </c>
      <c r="J538">
        <v>6.1</v>
      </c>
      <c r="K538" t="s">
        <v>116</v>
      </c>
      <c r="L538" t="s">
        <v>59</v>
      </c>
      <c r="M538" t="s">
        <v>60</v>
      </c>
      <c r="N538" t="s">
        <v>33</v>
      </c>
      <c r="O538" t="s">
        <v>52</v>
      </c>
      <c r="P538" t="s">
        <v>35</v>
      </c>
      <c r="Q538">
        <v>999</v>
      </c>
      <c r="R538">
        <v>831</v>
      </c>
    </row>
    <row r="539" spans="1:18">
      <c r="A539" t="s">
        <v>614</v>
      </c>
      <c r="B539" t="s">
        <v>64</v>
      </c>
      <c r="C539" t="s">
        <v>65</v>
      </c>
      <c r="D539" s="8">
        <v>2022</v>
      </c>
      <c r="E539" s="29">
        <v>4</v>
      </c>
      <c r="F539">
        <v>12</v>
      </c>
      <c r="G539">
        <v>128</v>
      </c>
      <c r="H539">
        <v>88</v>
      </c>
      <c r="I539">
        <v>64</v>
      </c>
      <c r="J539">
        <v>6.5</v>
      </c>
      <c r="K539" t="s">
        <v>66</v>
      </c>
      <c r="L539" t="s">
        <v>22</v>
      </c>
      <c r="M539" t="s">
        <v>86</v>
      </c>
      <c r="N539" t="s">
        <v>33</v>
      </c>
      <c r="O539" t="s">
        <v>61</v>
      </c>
      <c r="P539" t="s">
        <v>26</v>
      </c>
      <c r="Q539">
        <v>499</v>
      </c>
      <c r="R539">
        <v>376</v>
      </c>
    </row>
    <row r="540" spans="1:18">
      <c r="A540" t="s">
        <v>615</v>
      </c>
      <c r="B540" t="s">
        <v>64</v>
      </c>
      <c r="C540" t="s">
        <v>65</v>
      </c>
      <c r="D540" s="8">
        <v>2021</v>
      </c>
      <c r="E540" s="29">
        <v>5</v>
      </c>
      <c r="F540">
        <v>8</v>
      </c>
      <c r="G540">
        <v>512</v>
      </c>
      <c r="H540">
        <v>84</v>
      </c>
      <c r="I540">
        <v>50</v>
      </c>
      <c r="J540">
        <v>6.7</v>
      </c>
      <c r="K540" t="s">
        <v>66</v>
      </c>
      <c r="L540" t="s">
        <v>59</v>
      </c>
      <c r="M540" t="s">
        <v>32</v>
      </c>
      <c r="N540" t="s">
        <v>24</v>
      </c>
      <c r="O540" t="s">
        <v>84</v>
      </c>
      <c r="P540" t="s">
        <v>35</v>
      </c>
      <c r="Q540">
        <v>499</v>
      </c>
      <c r="R540">
        <v>489</v>
      </c>
    </row>
    <row r="541" spans="1:18">
      <c r="A541" t="s">
        <v>616</v>
      </c>
      <c r="B541" t="s">
        <v>77</v>
      </c>
      <c r="C541" t="s">
        <v>78</v>
      </c>
      <c r="D541" s="8">
        <v>2020</v>
      </c>
      <c r="E541" s="29">
        <v>6</v>
      </c>
      <c r="F541">
        <v>8</v>
      </c>
      <c r="G541">
        <v>64</v>
      </c>
      <c r="H541">
        <v>78</v>
      </c>
      <c r="I541">
        <v>64</v>
      </c>
      <c r="J541">
        <v>6.2</v>
      </c>
      <c r="K541" t="s">
        <v>79</v>
      </c>
      <c r="L541" t="s">
        <v>59</v>
      </c>
      <c r="M541" t="s">
        <v>40</v>
      </c>
      <c r="N541" t="s">
        <v>24</v>
      </c>
      <c r="O541" t="s">
        <v>34</v>
      </c>
      <c r="P541" t="s">
        <v>26</v>
      </c>
      <c r="Q541">
        <v>699</v>
      </c>
      <c r="R541">
        <v>590</v>
      </c>
    </row>
    <row r="542" spans="1:18">
      <c r="A542" t="s">
        <v>617</v>
      </c>
      <c r="B542" t="s">
        <v>89</v>
      </c>
      <c r="C542" t="s">
        <v>90</v>
      </c>
      <c r="D542" s="8">
        <v>2021</v>
      </c>
      <c r="E542" s="29">
        <v>5</v>
      </c>
      <c r="F542">
        <v>12</v>
      </c>
      <c r="G542">
        <v>256</v>
      </c>
      <c r="H542">
        <v>79</v>
      </c>
      <c r="I542">
        <v>48</v>
      </c>
      <c r="J542">
        <v>6.1</v>
      </c>
      <c r="K542" t="s">
        <v>91</v>
      </c>
      <c r="L542" t="s">
        <v>57</v>
      </c>
      <c r="M542" t="s">
        <v>86</v>
      </c>
      <c r="N542" t="s">
        <v>33</v>
      </c>
      <c r="O542" t="s">
        <v>61</v>
      </c>
      <c r="P542" t="s">
        <v>35</v>
      </c>
      <c r="Q542">
        <v>449</v>
      </c>
      <c r="R542">
        <v>325</v>
      </c>
    </row>
    <row r="543" spans="1:18">
      <c r="A543" t="s">
        <v>618</v>
      </c>
      <c r="B543" t="s">
        <v>73</v>
      </c>
      <c r="C543" t="s">
        <v>74</v>
      </c>
      <c r="D543" s="8">
        <v>2021</v>
      </c>
      <c r="E543" s="29">
        <v>5</v>
      </c>
      <c r="F543">
        <v>12</v>
      </c>
      <c r="G543">
        <v>256</v>
      </c>
      <c r="H543">
        <v>82</v>
      </c>
      <c r="I543">
        <v>50</v>
      </c>
      <c r="J543">
        <v>6.7</v>
      </c>
      <c r="K543" t="s">
        <v>75</v>
      </c>
      <c r="L543" t="s">
        <v>31</v>
      </c>
      <c r="M543" t="s">
        <v>47</v>
      </c>
      <c r="N543" t="s">
        <v>24</v>
      </c>
      <c r="O543" t="s">
        <v>52</v>
      </c>
      <c r="P543" t="s">
        <v>26</v>
      </c>
      <c r="Q543">
        <v>799</v>
      </c>
      <c r="R543">
        <v>773</v>
      </c>
    </row>
    <row r="544" spans="1:18">
      <c r="A544" t="s">
        <v>619</v>
      </c>
      <c r="B544" t="s">
        <v>54</v>
      </c>
      <c r="C544" t="s">
        <v>55</v>
      </c>
      <c r="D544" s="8">
        <v>2020</v>
      </c>
      <c r="E544" s="29">
        <v>6</v>
      </c>
      <c r="F544">
        <v>8</v>
      </c>
      <c r="G544">
        <v>64</v>
      </c>
      <c r="H544">
        <v>81</v>
      </c>
      <c r="I544">
        <v>108</v>
      </c>
      <c r="J544">
        <v>6.7</v>
      </c>
      <c r="K544" t="s">
        <v>56</v>
      </c>
      <c r="L544" t="s">
        <v>22</v>
      </c>
      <c r="M544" t="s">
        <v>86</v>
      </c>
      <c r="N544" t="s">
        <v>33</v>
      </c>
      <c r="O544" t="s">
        <v>34</v>
      </c>
      <c r="P544" t="s">
        <v>35</v>
      </c>
      <c r="Q544">
        <v>549</v>
      </c>
      <c r="R544">
        <v>383</v>
      </c>
    </row>
    <row r="545" spans="1:18">
      <c r="A545" t="s">
        <v>620</v>
      </c>
      <c r="B545" t="s">
        <v>28</v>
      </c>
      <c r="C545" t="s">
        <v>29</v>
      </c>
      <c r="D545" s="8">
        <v>2021</v>
      </c>
      <c r="E545" s="29">
        <v>5</v>
      </c>
      <c r="F545">
        <v>4</v>
      </c>
      <c r="G545">
        <v>512</v>
      </c>
      <c r="H545">
        <v>96</v>
      </c>
      <c r="I545">
        <v>108</v>
      </c>
      <c r="J545">
        <v>6.5</v>
      </c>
      <c r="K545" t="s">
        <v>30</v>
      </c>
      <c r="L545" t="s">
        <v>31</v>
      </c>
      <c r="M545" t="s">
        <v>32</v>
      </c>
      <c r="N545" t="s">
        <v>24</v>
      </c>
      <c r="O545" t="s">
        <v>41</v>
      </c>
      <c r="P545" t="s">
        <v>35</v>
      </c>
      <c r="Q545">
        <v>599</v>
      </c>
      <c r="R545">
        <v>589</v>
      </c>
    </row>
    <row r="546" spans="1:18">
      <c r="A546" t="s">
        <v>621</v>
      </c>
      <c r="B546" t="s">
        <v>19</v>
      </c>
      <c r="C546" t="s">
        <v>20</v>
      </c>
      <c r="D546" s="8">
        <v>2020</v>
      </c>
      <c r="E546" s="29">
        <v>6</v>
      </c>
      <c r="F546">
        <v>12</v>
      </c>
      <c r="G546">
        <v>256</v>
      </c>
      <c r="H546">
        <v>76</v>
      </c>
      <c r="I546">
        <v>48</v>
      </c>
      <c r="J546">
        <v>6.5</v>
      </c>
      <c r="K546" t="s">
        <v>21</v>
      </c>
      <c r="L546" t="s">
        <v>22</v>
      </c>
      <c r="M546" t="s">
        <v>86</v>
      </c>
      <c r="N546" t="s">
        <v>24</v>
      </c>
      <c r="O546" t="s">
        <v>34</v>
      </c>
      <c r="P546" t="s">
        <v>26</v>
      </c>
      <c r="Q546">
        <v>599</v>
      </c>
      <c r="R546">
        <v>442</v>
      </c>
    </row>
    <row r="547" spans="1:18">
      <c r="A547" t="s">
        <v>622</v>
      </c>
      <c r="B547" t="s">
        <v>28</v>
      </c>
      <c r="C547" t="s">
        <v>29</v>
      </c>
      <c r="D547" s="8">
        <v>2021</v>
      </c>
      <c r="E547" s="29">
        <v>5</v>
      </c>
      <c r="F547">
        <v>6</v>
      </c>
      <c r="G547">
        <v>64</v>
      </c>
      <c r="H547">
        <v>93</v>
      </c>
      <c r="I547">
        <v>12</v>
      </c>
      <c r="J547">
        <v>6.5</v>
      </c>
      <c r="K547" t="s">
        <v>30</v>
      </c>
      <c r="L547" t="s">
        <v>22</v>
      </c>
      <c r="M547" t="s">
        <v>40</v>
      </c>
      <c r="N547" t="s">
        <v>33</v>
      </c>
      <c r="O547" t="s">
        <v>48</v>
      </c>
      <c r="P547" t="s">
        <v>26</v>
      </c>
      <c r="Q547">
        <v>599</v>
      </c>
      <c r="R547">
        <v>442</v>
      </c>
    </row>
    <row r="548" spans="1:18">
      <c r="A548" t="s">
        <v>623</v>
      </c>
      <c r="B548" t="s">
        <v>68</v>
      </c>
      <c r="C548" t="s">
        <v>69</v>
      </c>
      <c r="D548" s="8">
        <v>2021</v>
      </c>
      <c r="E548" s="29">
        <v>5</v>
      </c>
      <c r="F548">
        <v>4</v>
      </c>
      <c r="G548">
        <v>128</v>
      </c>
      <c r="H548">
        <v>83</v>
      </c>
      <c r="I548">
        <v>64</v>
      </c>
      <c r="J548">
        <v>6.1</v>
      </c>
      <c r="K548" t="s">
        <v>70</v>
      </c>
      <c r="L548" t="s">
        <v>31</v>
      </c>
      <c r="M548" t="s">
        <v>60</v>
      </c>
      <c r="N548" t="s">
        <v>24</v>
      </c>
      <c r="O548" t="s">
        <v>34</v>
      </c>
      <c r="P548" t="s">
        <v>26</v>
      </c>
      <c r="Q548">
        <v>399</v>
      </c>
      <c r="R548">
        <v>389</v>
      </c>
    </row>
    <row r="549" spans="1:18">
      <c r="A549" t="s">
        <v>624</v>
      </c>
      <c r="B549" t="s">
        <v>19</v>
      </c>
      <c r="C549" t="s">
        <v>20</v>
      </c>
      <c r="D549" s="8">
        <v>2022</v>
      </c>
      <c r="E549" s="29">
        <v>4</v>
      </c>
      <c r="F549">
        <v>6</v>
      </c>
      <c r="G549">
        <v>512</v>
      </c>
      <c r="H549">
        <v>80</v>
      </c>
      <c r="I549">
        <v>50</v>
      </c>
      <c r="J549">
        <v>6.67</v>
      </c>
      <c r="K549" t="s">
        <v>21</v>
      </c>
      <c r="L549" t="s">
        <v>22</v>
      </c>
      <c r="M549" t="s">
        <v>23</v>
      </c>
      <c r="N549" t="s">
        <v>24</v>
      </c>
      <c r="O549" t="s">
        <v>84</v>
      </c>
      <c r="P549" t="s">
        <v>26</v>
      </c>
      <c r="Q549">
        <v>599</v>
      </c>
      <c r="R549">
        <v>495</v>
      </c>
    </row>
    <row r="550" spans="1:18">
      <c r="A550" t="s">
        <v>625</v>
      </c>
      <c r="B550" t="s">
        <v>64</v>
      </c>
      <c r="C550" t="s">
        <v>65</v>
      </c>
      <c r="D550" s="8">
        <v>2022</v>
      </c>
      <c r="E550" s="29">
        <v>4</v>
      </c>
      <c r="F550">
        <v>12</v>
      </c>
      <c r="G550">
        <v>128</v>
      </c>
      <c r="H550">
        <v>99</v>
      </c>
      <c r="I550">
        <v>12</v>
      </c>
      <c r="J550">
        <v>6.5</v>
      </c>
      <c r="K550" t="s">
        <v>66</v>
      </c>
      <c r="L550" t="s">
        <v>22</v>
      </c>
      <c r="M550" t="s">
        <v>40</v>
      </c>
      <c r="N550" t="s">
        <v>24</v>
      </c>
      <c r="O550" t="s">
        <v>41</v>
      </c>
      <c r="P550" t="s">
        <v>35</v>
      </c>
      <c r="Q550">
        <v>499</v>
      </c>
      <c r="R550">
        <v>409</v>
      </c>
    </row>
    <row r="551" spans="1:18">
      <c r="A551" t="s">
        <v>626</v>
      </c>
      <c r="B551" t="s">
        <v>44</v>
      </c>
      <c r="C551" t="s">
        <v>45</v>
      </c>
      <c r="D551" s="8">
        <v>2022</v>
      </c>
      <c r="E551" s="29">
        <v>4</v>
      </c>
      <c r="F551">
        <v>8</v>
      </c>
      <c r="G551">
        <v>512</v>
      </c>
      <c r="H551">
        <v>95</v>
      </c>
      <c r="I551">
        <v>108</v>
      </c>
      <c r="J551">
        <v>6.7</v>
      </c>
      <c r="K551" t="s">
        <v>46</v>
      </c>
      <c r="L551" t="s">
        <v>22</v>
      </c>
      <c r="M551" t="s">
        <v>86</v>
      </c>
      <c r="N551" t="s">
        <v>24</v>
      </c>
      <c r="O551" t="s">
        <v>52</v>
      </c>
      <c r="P551" t="s">
        <v>26</v>
      </c>
      <c r="Q551">
        <v>799</v>
      </c>
      <c r="R551">
        <v>592</v>
      </c>
    </row>
    <row r="552" spans="1:18">
      <c r="A552" t="s">
        <v>627</v>
      </c>
      <c r="B552" t="s">
        <v>19</v>
      </c>
      <c r="C552" t="s">
        <v>20</v>
      </c>
      <c r="D552" s="8">
        <v>2023</v>
      </c>
      <c r="E552" s="29">
        <v>3</v>
      </c>
      <c r="F552">
        <v>6</v>
      </c>
      <c r="G552">
        <v>128</v>
      </c>
      <c r="H552">
        <v>91</v>
      </c>
      <c r="I552">
        <v>64</v>
      </c>
      <c r="J552">
        <v>6.5</v>
      </c>
      <c r="K552" t="s">
        <v>21</v>
      </c>
      <c r="L552" t="s">
        <v>59</v>
      </c>
      <c r="M552" t="s">
        <v>60</v>
      </c>
      <c r="N552" t="s">
        <v>24</v>
      </c>
      <c r="O552" t="s">
        <v>84</v>
      </c>
      <c r="P552" t="s">
        <v>35</v>
      </c>
      <c r="Q552">
        <v>599</v>
      </c>
      <c r="R552">
        <v>500</v>
      </c>
    </row>
    <row r="553" spans="1:18">
      <c r="A553" t="s">
        <v>628</v>
      </c>
      <c r="B553" t="s">
        <v>44</v>
      </c>
      <c r="C553" t="s">
        <v>45</v>
      </c>
      <c r="D553" s="8">
        <v>2023</v>
      </c>
      <c r="E553" s="29">
        <v>3</v>
      </c>
      <c r="F553">
        <v>6</v>
      </c>
      <c r="G553">
        <v>128</v>
      </c>
      <c r="H553">
        <v>92</v>
      </c>
      <c r="I553">
        <v>108</v>
      </c>
      <c r="J553">
        <v>6.2</v>
      </c>
      <c r="K553" t="s">
        <v>46</v>
      </c>
      <c r="L553" t="s">
        <v>59</v>
      </c>
      <c r="M553" t="s">
        <v>32</v>
      </c>
      <c r="N553" t="s">
        <v>24</v>
      </c>
      <c r="O553" t="s">
        <v>34</v>
      </c>
      <c r="P553" t="s">
        <v>35</v>
      </c>
      <c r="Q553">
        <v>799</v>
      </c>
      <c r="R553">
        <v>637</v>
      </c>
    </row>
    <row r="554" spans="1:18">
      <c r="A554" t="s">
        <v>629</v>
      </c>
      <c r="B554" t="s">
        <v>64</v>
      </c>
      <c r="C554" t="s">
        <v>65</v>
      </c>
      <c r="D554" s="8">
        <v>2021</v>
      </c>
      <c r="E554" s="29">
        <v>5</v>
      </c>
      <c r="F554">
        <v>4</v>
      </c>
      <c r="G554">
        <v>64</v>
      </c>
      <c r="H554">
        <v>96</v>
      </c>
      <c r="I554">
        <v>64</v>
      </c>
      <c r="J554">
        <v>6.67</v>
      </c>
      <c r="K554" t="s">
        <v>66</v>
      </c>
      <c r="L554" t="s">
        <v>22</v>
      </c>
      <c r="M554" t="s">
        <v>23</v>
      </c>
      <c r="N554" t="s">
        <v>33</v>
      </c>
      <c r="O554" t="s">
        <v>48</v>
      </c>
      <c r="P554" t="s">
        <v>26</v>
      </c>
      <c r="Q554">
        <v>499</v>
      </c>
      <c r="R554">
        <v>330</v>
      </c>
    </row>
    <row r="555" spans="1:18">
      <c r="A555" t="s">
        <v>630</v>
      </c>
      <c r="B555" t="s">
        <v>28</v>
      </c>
      <c r="C555" t="s">
        <v>29</v>
      </c>
      <c r="D555" s="8">
        <v>2020</v>
      </c>
      <c r="E555" s="29">
        <v>6</v>
      </c>
      <c r="F555">
        <v>12</v>
      </c>
      <c r="G555">
        <v>256</v>
      </c>
      <c r="H555">
        <v>84</v>
      </c>
      <c r="I555">
        <v>50</v>
      </c>
      <c r="J555">
        <v>6.1</v>
      </c>
      <c r="K555" t="s">
        <v>30</v>
      </c>
      <c r="L555" t="s">
        <v>59</v>
      </c>
      <c r="M555" t="s">
        <v>40</v>
      </c>
      <c r="N555" t="s">
        <v>33</v>
      </c>
      <c r="O555" t="s">
        <v>25</v>
      </c>
      <c r="P555" t="s">
        <v>35</v>
      </c>
      <c r="Q555">
        <v>599</v>
      </c>
      <c r="R555">
        <v>528</v>
      </c>
    </row>
    <row r="556" spans="1:18">
      <c r="A556" t="s">
        <v>631</v>
      </c>
      <c r="B556" t="s">
        <v>44</v>
      </c>
      <c r="C556" t="s">
        <v>45</v>
      </c>
      <c r="D556" s="8">
        <v>2021</v>
      </c>
      <c r="E556" s="29">
        <v>5</v>
      </c>
      <c r="F556">
        <v>4</v>
      </c>
      <c r="G556">
        <v>128</v>
      </c>
      <c r="H556">
        <v>97</v>
      </c>
      <c r="I556">
        <v>108</v>
      </c>
      <c r="J556">
        <v>6.2</v>
      </c>
      <c r="K556" t="s">
        <v>46</v>
      </c>
      <c r="L556" t="s">
        <v>59</v>
      </c>
      <c r="M556" t="s">
        <v>40</v>
      </c>
      <c r="N556" t="s">
        <v>33</v>
      </c>
      <c r="O556" t="s">
        <v>61</v>
      </c>
      <c r="P556" t="s">
        <v>35</v>
      </c>
      <c r="Q556">
        <v>799</v>
      </c>
      <c r="R556">
        <v>629</v>
      </c>
    </row>
    <row r="557" spans="1:18">
      <c r="A557" t="s">
        <v>632</v>
      </c>
      <c r="B557" t="s">
        <v>89</v>
      </c>
      <c r="C557" t="s">
        <v>90</v>
      </c>
      <c r="D557" s="8">
        <v>2023</v>
      </c>
      <c r="E557" s="29">
        <v>3</v>
      </c>
      <c r="F557">
        <v>4</v>
      </c>
      <c r="G557">
        <v>64</v>
      </c>
      <c r="H557">
        <v>99</v>
      </c>
      <c r="I557">
        <v>48</v>
      </c>
      <c r="J557">
        <v>6.2</v>
      </c>
      <c r="K557" t="s">
        <v>91</v>
      </c>
      <c r="L557" t="s">
        <v>57</v>
      </c>
      <c r="M557" t="s">
        <v>86</v>
      </c>
      <c r="N557" t="s">
        <v>24</v>
      </c>
      <c r="O557" t="s">
        <v>48</v>
      </c>
      <c r="P557" t="s">
        <v>35</v>
      </c>
      <c r="Q557">
        <v>449</v>
      </c>
      <c r="R557">
        <v>241</v>
      </c>
    </row>
    <row r="558" spans="1:18">
      <c r="A558" t="s">
        <v>633</v>
      </c>
      <c r="B558" t="s">
        <v>19</v>
      </c>
      <c r="C558" t="s">
        <v>20</v>
      </c>
      <c r="D558" s="8">
        <v>2024</v>
      </c>
      <c r="E558" s="29">
        <v>2</v>
      </c>
      <c r="F558">
        <v>12</v>
      </c>
      <c r="G558">
        <v>128</v>
      </c>
      <c r="H558">
        <v>78</v>
      </c>
      <c r="I558">
        <v>12</v>
      </c>
      <c r="J558">
        <v>6.2</v>
      </c>
      <c r="K558" t="s">
        <v>21</v>
      </c>
      <c r="L558" t="s">
        <v>22</v>
      </c>
      <c r="M558" t="s">
        <v>23</v>
      </c>
      <c r="N558" t="s">
        <v>24</v>
      </c>
      <c r="O558" t="s">
        <v>84</v>
      </c>
      <c r="P558" t="s">
        <v>35</v>
      </c>
      <c r="Q558">
        <v>599</v>
      </c>
      <c r="R558">
        <v>460</v>
      </c>
    </row>
    <row r="559" spans="1:18">
      <c r="A559" t="s">
        <v>634</v>
      </c>
      <c r="B559" t="s">
        <v>37</v>
      </c>
      <c r="C559" t="s">
        <v>38</v>
      </c>
      <c r="D559" s="8">
        <v>2024</v>
      </c>
      <c r="E559" s="29">
        <v>2</v>
      </c>
      <c r="F559">
        <v>12</v>
      </c>
      <c r="G559">
        <v>64</v>
      </c>
      <c r="H559">
        <v>79</v>
      </c>
      <c r="I559">
        <v>108</v>
      </c>
      <c r="J559">
        <v>6.1</v>
      </c>
      <c r="K559" t="s">
        <v>39</v>
      </c>
      <c r="L559" t="s">
        <v>31</v>
      </c>
      <c r="M559" t="s">
        <v>23</v>
      </c>
      <c r="N559" t="s">
        <v>24</v>
      </c>
      <c r="O559" t="s">
        <v>48</v>
      </c>
      <c r="P559" t="s">
        <v>26</v>
      </c>
      <c r="Q559">
        <v>599</v>
      </c>
      <c r="R559">
        <v>552</v>
      </c>
    </row>
    <row r="560" spans="1:18">
      <c r="A560" t="s">
        <v>635</v>
      </c>
      <c r="B560" t="s">
        <v>37</v>
      </c>
      <c r="C560" t="s">
        <v>38</v>
      </c>
      <c r="D560" s="8">
        <v>2024</v>
      </c>
      <c r="E560" s="29">
        <v>2</v>
      </c>
      <c r="F560">
        <v>12</v>
      </c>
      <c r="G560">
        <v>256</v>
      </c>
      <c r="H560">
        <v>94</v>
      </c>
      <c r="I560">
        <v>12</v>
      </c>
      <c r="J560">
        <v>6.4</v>
      </c>
      <c r="K560" t="s">
        <v>39</v>
      </c>
      <c r="L560" t="s">
        <v>57</v>
      </c>
      <c r="M560" t="s">
        <v>32</v>
      </c>
      <c r="N560" t="s">
        <v>33</v>
      </c>
      <c r="O560" t="s">
        <v>25</v>
      </c>
      <c r="P560" t="s">
        <v>26</v>
      </c>
      <c r="Q560">
        <v>599</v>
      </c>
      <c r="R560">
        <v>384</v>
      </c>
    </row>
    <row r="561" spans="1:18">
      <c r="A561" t="s">
        <v>636</v>
      </c>
      <c r="B561" t="s">
        <v>28</v>
      </c>
      <c r="C561" t="s">
        <v>29</v>
      </c>
      <c r="D561" s="8">
        <v>2022</v>
      </c>
      <c r="E561" s="29">
        <v>4</v>
      </c>
      <c r="F561">
        <v>12</v>
      </c>
      <c r="G561">
        <v>512</v>
      </c>
      <c r="H561">
        <v>92</v>
      </c>
      <c r="I561">
        <v>48</v>
      </c>
      <c r="J561">
        <v>6.5</v>
      </c>
      <c r="K561" t="s">
        <v>30</v>
      </c>
      <c r="L561" t="s">
        <v>22</v>
      </c>
      <c r="M561" t="s">
        <v>23</v>
      </c>
      <c r="N561" t="s">
        <v>24</v>
      </c>
      <c r="O561" t="s">
        <v>87</v>
      </c>
      <c r="P561" t="s">
        <v>26</v>
      </c>
      <c r="Q561">
        <v>599</v>
      </c>
      <c r="R561">
        <v>486</v>
      </c>
    </row>
    <row r="562" spans="1:18">
      <c r="A562" t="s">
        <v>637</v>
      </c>
      <c r="B562" t="s">
        <v>68</v>
      </c>
      <c r="C562" t="s">
        <v>69</v>
      </c>
      <c r="D562" s="8">
        <v>2022</v>
      </c>
      <c r="E562" s="29">
        <v>4</v>
      </c>
      <c r="F562">
        <v>4</v>
      </c>
      <c r="G562">
        <v>512</v>
      </c>
      <c r="H562">
        <v>84</v>
      </c>
      <c r="I562">
        <v>50</v>
      </c>
      <c r="J562">
        <v>6.78</v>
      </c>
      <c r="K562" t="s">
        <v>70</v>
      </c>
      <c r="L562" t="s">
        <v>59</v>
      </c>
      <c r="M562" t="s">
        <v>47</v>
      </c>
      <c r="N562" t="s">
        <v>33</v>
      </c>
      <c r="O562" t="s">
        <v>61</v>
      </c>
      <c r="P562" t="s">
        <v>26</v>
      </c>
      <c r="Q562">
        <v>399</v>
      </c>
      <c r="R562">
        <v>389</v>
      </c>
    </row>
    <row r="563" spans="1:18">
      <c r="A563" t="s">
        <v>638</v>
      </c>
      <c r="B563" t="s">
        <v>64</v>
      </c>
      <c r="C563" t="s">
        <v>65</v>
      </c>
      <c r="D563" s="8">
        <v>2022</v>
      </c>
      <c r="E563" s="29">
        <v>4</v>
      </c>
      <c r="F563">
        <v>8</v>
      </c>
      <c r="G563">
        <v>512</v>
      </c>
      <c r="H563">
        <v>84</v>
      </c>
      <c r="I563">
        <v>64</v>
      </c>
      <c r="J563">
        <v>6.5</v>
      </c>
      <c r="K563" t="s">
        <v>66</v>
      </c>
      <c r="L563" t="s">
        <v>22</v>
      </c>
      <c r="M563" t="s">
        <v>32</v>
      </c>
      <c r="N563" t="s">
        <v>33</v>
      </c>
      <c r="O563" t="s">
        <v>41</v>
      </c>
      <c r="P563" t="s">
        <v>35</v>
      </c>
      <c r="Q563">
        <v>499</v>
      </c>
      <c r="R563">
        <v>432</v>
      </c>
    </row>
    <row r="564" spans="1:18">
      <c r="A564" t="s">
        <v>639</v>
      </c>
      <c r="B564" t="s">
        <v>68</v>
      </c>
      <c r="C564" t="s">
        <v>81</v>
      </c>
      <c r="D564" s="8">
        <v>2023</v>
      </c>
      <c r="E564" s="29">
        <v>3</v>
      </c>
      <c r="F564">
        <v>4</v>
      </c>
      <c r="G564">
        <v>64</v>
      </c>
      <c r="H564">
        <v>91</v>
      </c>
      <c r="I564">
        <v>48</v>
      </c>
      <c r="J564">
        <v>6.78</v>
      </c>
      <c r="K564" t="s">
        <v>82</v>
      </c>
      <c r="L564" t="s">
        <v>31</v>
      </c>
      <c r="M564" t="s">
        <v>40</v>
      </c>
      <c r="N564" t="s">
        <v>24</v>
      </c>
      <c r="O564" t="s">
        <v>61</v>
      </c>
      <c r="P564" t="s">
        <v>35</v>
      </c>
      <c r="Q564">
        <v>299</v>
      </c>
      <c r="R564">
        <v>289</v>
      </c>
    </row>
    <row r="565" spans="1:18">
      <c r="A565" t="s">
        <v>640</v>
      </c>
      <c r="B565" t="s">
        <v>37</v>
      </c>
      <c r="C565" t="s">
        <v>38</v>
      </c>
      <c r="D565" s="8">
        <v>2020</v>
      </c>
      <c r="E565" s="29">
        <v>6</v>
      </c>
      <c r="F565">
        <v>12</v>
      </c>
      <c r="G565">
        <v>64</v>
      </c>
      <c r="H565">
        <v>99</v>
      </c>
      <c r="I565">
        <v>50</v>
      </c>
      <c r="J565">
        <v>6.7</v>
      </c>
      <c r="K565" t="s">
        <v>39</v>
      </c>
      <c r="L565" t="s">
        <v>59</v>
      </c>
      <c r="M565" t="s">
        <v>47</v>
      </c>
      <c r="N565" t="s">
        <v>33</v>
      </c>
      <c r="O565" t="s">
        <v>87</v>
      </c>
      <c r="P565" t="s">
        <v>26</v>
      </c>
      <c r="Q565">
        <v>599</v>
      </c>
      <c r="R565">
        <v>497</v>
      </c>
    </row>
    <row r="566" spans="1:18">
      <c r="A566" t="s">
        <v>641</v>
      </c>
      <c r="B566" t="s">
        <v>28</v>
      </c>
      <c r="C566" t="s">
        <v>29</v>
      </c>
      <c r="D566" s="8">
        <v>2021</v>
      </c>
      <c r="E566" s="29">
        <v>5</v>
      </c>
      <c r="F566">
        <v>12</v>
      </c>
      <c r="G566">
        <v>64</v>
      </c>
      <c r="H566">
        <v>76</v>
      </c>
      <c r="I566">
        <v>108</v>
      </c>
      <c r="J566">
        <v>6.2</v>
      </c>
      <c r="K566" t="s">
        <v>30</v>
      </c>
      <c r="L566" t="s">
        <v>59</v>
      </c>
      <c r="M566" t="s">
        <v>23</v>
      </c>
      <c r="N566" t="s">
        <v>33</v>
      </c>
      <c r="O566" t="s">
        <v>34</v>
      </c>
      <c r="P566" t="s">
        <v>26</v>
      </c>
      <c r="Q566">
        <v>599</v>
      </c>
      <c r="R566">
        <v>531</v>
      </c>
    </row>
    <row r="567" spans="1:18">
      <c r="A567" t="s">
        <v>642</v>
      </c>
      <c r="B567" t="s">
        <v>68</v>
      </c>
      <c r="C567" t="s">
        <v>69</v>
      </c>
      <c r="D567" s="8">
        <v>2020</v>
      </c>
      <c r="E567" s="29">
        <v>6</v>
      </c>
      <c r="F567">
        <v>6</v>
      </c>
      <c r="G567">
        <v>512</v>
      </c>
      <c r="H567">
        <v>84</v>
      </c>
      <c r="I567">
        <v>48</v>
      </c>
      <c r="J567">
        <v>6.7</v>
      </c>
      <c r="K567" t="s">
        <v>70</v>
      </c>
      <c r="L567" t="s">
        <v>31</v>
      </c>
      <c r="M567" t="s">
        <v>23</v>
      </c>
      <c r="N567" t="s">
        <v>33</v>
      </c>
      <c r="O567" t="s">
        <v>84</v>
      </c>
      <c r="P567" t="s">
        <v>35</v>
      </c>
      <c r="Q567">
        <v>399</v>
      </c>
      <c r="R567">
        <v>389</v>
      </c>
    </row>
    <row r="568" spans="1:18">
      <c r="A568" t="s">
        <v>643</v>
      </c>
      <c r="B568" t="s">
        <v>44</v>
      </c>
      <c r="C568" t="s">
        <v>45</v>
      </c>
      <c r="D568" s="8">
        <v>2023</v>
      </c>
      <c r="E568" s="29">
        <v>3</v>
      </c>
      <c r="F568">
        <v>4</v>
      </c>
      <c r="G568">
        <v>64</v>
      </c>
      <c r="H568">
        <v>100</v>
      </c>
      <c r="I568">
        <v>108</v>
      </c>
      <c r="J568">
        <v>6.2</v>
      </c>
      <c r="K568" t="s">
        <v>46</v>
      </c>
      <c r="L568" t="s">
        <v>59</v>
      </c>
      <c r="M568" t="s">
        <v>86</v>
      </c>
      <c r="N568" t="s">
        <v>24</v>
      </c>
      <c r="O568" t="s">
        <v>52</v>
      </c>
      <c r="P568" t="s">
        <v>26</v>
      </c>
      <c r="Q568">
        <v>799</v>
      </c>
      <c r="R568">
        <v>647</v>
      </c>
    </row>
    <row r="569" spans="1:18">
      <c r="A569" t="s">
        <v>644</v>
      </c>
      <c r="B569" t="s">
        <v>19</v>
      </c>
      <c r="C569" t="s">
        <v>20</v>
      </c>
      <c r="D569" s="8">
        <v>2022</v>
      </c>
      <c r="E569" s="29">
        <v>4</v>
      </c>
      <c r="F569">
        <v>8</v>
      </c>
      <c r="G569">
        <v>256</v>
      </c>
      <c r="H569">
        <v>92</v>
      </c>
      <c r="I569">
        <v>50</v>
      </c>
      <c r="J569">
        <v>6.5</v>
      </c>
      <c r="K569" t="s">
        <v>21</v>
      </c>
      <c r="L569" t="s">
        <v>31</v>
      </c>
      <c r="M569" t="s">
        <v>40</v>
      </c>
      <c r="N569" t="s">
        <v>33</v>
      </c>
      <c r="O569" t="s">
        <v>48</v>
      </c>
      <c r="P569" t="s">
        <v>35</v>
      </c>
      <c r="Q569">
        <v>599</v>
      </c>
      <c r="R569">
        <v>577</v>
      </c>
    </row>
    <row r="570" spans="1:18">
      <c r="A570" t="s">
        <v>645</v>
      </c>
      <c r="B570" t="s">
        <v>68</v>
      </c>
      <c r="C570" t="s">
        <v>81</v>
      </c>
      <c r="D570" s="8">
        <v>2021</v>
      </c>
      <c r="E570" s="29">
        <v>5</v>
      </c>
      <c r="F570">
        <v>12</v>
      </c>
      <c r="G570">
        <v>64</v>
      </c>
      <c r="H570">
        <v>76</v>
      </c>
      <c r="I570">
        <v>64</v>
      </c>
      <c r="J570">
        <v>6.5</v>
      </c>
      <c r="K570" t="s">
        <v>82</v>
      </c>
      <c r="L570" t="s">
        <v>31</v>
      </c>
      <c r="M570" t="s">
        <v>32</v>
      </c>
      <c r="N570" t="s">
        <v>33</v>
      </c>
      <c r="O570" t="s">
        <v>52</v>
      </c>
      <c r="P570" t="s">
        <v>35</v>
      </c>
      <c r="Q570">
        <v>299</v>
      </c>
      <c r="R570">
        <v>289</v>
      </c>
    </row>
    <row r="571" spans="1:18">
      <c r="A571" t="s">
        <v>646</v>
      </c>
      <c r="B571" t="s">
        <v>44</v>
      </c>
      <c r="C571" t="s">
        <v>45</v>
      </c>
      <c r="D571" s="8">
        <v>2024</v>
      </c>
      <c r="E571" s="29">
        <v>2</v>
      </c>
      <c r="F571">
        <v>12</v>
      </c>
      <c r="G571">
        <v>64</v>
      </c>
      <c r="H571">
        <v>77</v>
      </c>
      <c r="I571">
        <v>108</v>
      </c>
      <c r="J571">
        <v>6.1</v>
      </c>
      <c r="K571" t="s">
        <v>46</v>
      </c>
      <c r="L571" t="s">
        <v>22</v>
      </c>
      <c r="M571" t="s">
        <v>86</v>
      </c>
      <c r="N571" t="s">
        <v>33</v>
      </c>
      <c r="O571" t="s">
        <v>48</v>
      </c>
      <c r="P571" t="s">
        <v>35</v>
      </c>
      <c r="Q571">
        <v>799</v>
      </c>
      <c r="R571">
        <v>546</v>
      </c>
    </row>
    <row r="572" spans="1:18">
      <c r="A572" t="s">
        <v>647</v>
      </c>
      <c r="B572" t="s">
        <v>37</v>
      </c>
      <c r="C572" t="s">
        <v>38</v>
      </c>
      <c r="D572" s="8">
        <v>2024</v>
      </c>
      <c r="E572" s="29">
        <v>2</v>
      </c>
      <c r="F572">
        <v>6</v>
      </c>
      <c r="G572">
        <v>64</v>
      </c>
      <c r="H572">
        <v>86</v>
      </c>
      <c r="I572">
        <v>108</v>
      </c>
      <c r="J572">
        <v>6.5</v>
      </c>
      <c r="K572" t="s">
        <v>39</v>
      </c>
      <c r="L572" t="s">
        <v>31</v>
      </c>
      <c r="M572" t="s">
        <v>32</v>
      </c>
      <c r="N572" t="s">
        <v>24</v>
      </c>
      <c r="O572" t="s">
        <v>87</v>
      </c>
      <c r="P572" t="s">
        <v>35</v>
      </c>
      <c r="Q572">
        <v>599</v>
      </c>
      <c r="R572">
        <v>574</v>
      </c>
    </row>
    <row r="573" spans="1:18">
      <c r="A573" t="s">
        <v>648</v>
      </c>
      <c r="B573" t="s">
        <v>89</v>
      </c>
      <c r="C573" t="s">
        <v>90</v>
      </c>
      <c r="D573" s="8">
        <v>2024</v>
      </c>
      <c r="E573" s="29">
        <v>2</v>
      </c>
      <c r="F573">
        <v>4</v>
      </c>
      <c r="G573">
        <v>512</v>
      </c>
      <c r="H573">
        <v>95</v>
      </c>
      <c r="I573">
        <v>64</v>
      </c>
      <c r="J573">
        <v>6.5</v>
      </c>
      <c r="K573" t="s">
        <v>91</v>
      </c>
      <c r="L573" t="s">
        <v>59</v>
      </c>
      <c r="M573" t="s">
        <v>86</v>
      </c>
      <c r="N573" t="s">
        <v>24</v>
      </c>
      <c r="O573" t="s">
        <v>52</v>
      </c>
      <c r="P573" t="s">
        <v>35</v>
      </c>
      <c r="Q573">
        <v>449</v>
      </c>
      <c r="R573">
        <v>439</v>
      </c>
    </row>
    <row r="574" spans="1:18">
      <c r="A574" t="s">
        <v>649</v>
      </c>
      <c r="B574" t="s">
        <v>73</v>
      </c>
      <c r="C574" t="s">
        <v>105</v>
      </c>
      <c r="D574" s="8">
        <v>2021</v>
      </c>
      <c r="E574" s="29">
        <v>5</v>
      </c>
      <c r="F574">
        <v>6</v>
      </c>
      <c r="G574">
        <v>256</v>
      </c>
      <c r="H574">
        <v>86</v>
      </c>
      <c r="I574">
        <v>12</v>
      </c>
      <c r="J574">
        <v>6.7</v>
      </c>
      <c r="K574" t="s">
        <v>75</v>
      </c>
      <c r="L574" t="s">
        <v>22</v>
      </c>
      <c r="M574" t="s">
        <v>40</v>
      </c>
      <c r="N574" t="s">
        <v>24</v>
      </c>
      <c r="O574" t="s">
        <v>34</v>
      </c>
      <c r="P574" t="s">
        <v>26</v>
      </c>
      <c r="Q574">
        <v>899</v>
      </c>
      <c r="R574">
        <v>632</v>
      </c>
    </row>
    <row r="575" spans="1:18">
      <c r="A575" t="s">
        <v>650</v>
      </c>
      <c r="B575" t="s">
        <v>77</v>
      </c>
      <c r="C575" t="s">
        <v>78</v>
      </c>
      <c r="D575" s="8">
        <v>2024</v>
      </c>
      <c r="E575" s="29">
        <v>2</v>
      </c>
      <c r="F575">
        <v>8</v>
      </c>
      <c r="G575">
        <v>256</v>
      </c>
      <c r="H575">
        <v>96</v>
      </c>
      <c r="I575">
        <v>50</v>
      </c>
      <c r="J575">
        <v>6.4</v>
      </c>
      <c r="K575" t="s">
        <v>79</v>
      </c>
      <c r="L575" t="s">
        <v>59</v>
      </c>
      <c r="M575" t="s">
        <v>23</v>
      </c>
      <c r="N575" t="s">
        <v>24</v>
      </c>
      <c r="O575" t="s">
        <v>87</v>
      </c>
      <c r="P575" t="s">
        <v>35</v>
      </c>
      <c r="Q575">
        <v>699</v>
      </c>
      <c r="R575">
        <v>621</v>
      </c>
    </row>
    <row r="576" spans="1:18">
      <c r="A576" t="s">
        <v>651</v>
      </c>
      <c r="B576" t="s">
        <v>64</v>
      </c>
      <c r="C576" t="s">
        <v>65</v>
      </c>
      <c r="D576" s="8">
        <v>2021</v>
      </c>
      <c r="E576" s="29">
        <v>5</v>
      </c>
      <c r="F576">
        <v>12</v>
      </c>
      <c r="G576">
        <v>64</v>
      </c>
      <c r="H576">
        <v>82</v>
      </c>
      <c r="I576">
        <v>50</v>
      </c>
      <c r="J576">
        <v>6.4</v>
      </c>
      <c r="K576" t="s">
        <v>66</v>
      </c>
      <c r="L576" t="s">
        <v>57</v>
      </c>
      <c r="M576" t="s">
        <v>40</v>
      </c>
      <c r="N576" t="s">
        <v>24</v>
      </c>
      <c r="O576" t="s">
        <v>84</v>
      </c>
      <c r="P576" t="s">
        <v>26</v>
      </c>
      <c r="Q576">
        <v>499</v>
      </c>
      <c r="R576">
        <v>290</v>
      </c>
    </row>
    <row r="577" spans="1:18">
      <c r="A577" t="s">
        <v>652</v>
      </c>
      <c r="B577" t="s">
        <v>73</v>
      </c>
      <c r="C577" t="s">
        <v>105</v>
      </c>
      <c r="D577" s="8">
        <v>2024</v>
      </c>
      <c r="E577" s="29">
        <v>2</v>
      </c>
      <c r="F577">
        <v>4</v>
      </c>
      <c r="G577">
        <v>64</v>
      </c>
      <c r="H577">
        <v>94</v>
      </c>
      <c r="I577">
        <v>64</v>
      </c>
      <c r="J577">
        <v>6.67</v>
      </c>
      <c r="K577" t="s">
        <v>75</v>
      </c>
      <c r="L577" t="s">
        <v>22</v>
      </c>
      <c r="M577" t="s">
        <v>23</v>
      </c>
      <c r="N577" t="s">
        <v>33</v>
      </c>
      <c r="O577" t="s">
        <v>34</v>
      </c>
      <c r="P577" t="s">
        <v>35</v>
      </c>
      <c r="Q577">
        <v>899</v>
      </c>
      <c r="R577">
        <v>569</v>
      </c>
    </row>
    <row r="578" spans="1:18">
      <c r="A578" t="s">
        <v>653</v>
      </c>
      <c r="B578" t="s">
        <v>37</v>
      </c>
      <c r="C578" t="s">
        <v>38</v>
      </c>
      <c r="D578" s="8">
        <v>2020</v>
      </c>
      <c r="E578" s="29">
        <v>6</v>
      </c>
      <c r="F578">
        <v>6</v>
      </c>
      <c r="G578">
        <v>512</v>
      </c>
      <c r="H578">
        <v>78</v>
      </c>
      <c r="I578">
        <v>12</v>
      </c>
      <c r="J578">
        <v>6.4</v>
      </c>
      <c r="K578" t="s">
        <v>39</v>
      </c>
      <c r="L578" t="s">
        <v>59</v>
      </c>
      <c r="M578" t="s">
        <v>86</v>
      </c>
      <c r="N578" t="s">
        <v>33</v>
      </c>
      <c r="O578" t="s">
        <v>87</v>
      </c>
      <c r="P578" t="s">
        <v>26</v>
      </c>
      <c r="Q578">
        <v>599</v>
      </c>
      <c r="R578">
        <v>565</v>
      </c>
    </row>
    <row r="579" spans="1:18">
      <c r="A579" t="s">
        <v>654</v>
      </c>
      <c r="B579" t="s">
        <v>73</v>
      </c>
      <c r="C579" t="s">
        <v>122</v>
      </c>
      <c r="D579" s="8">
        <v>2022</v>
      </c>
      <c r="E579" s="29">
        <v>4</v>
      </c>
      <c r="F579">
        <v>12</v>
      </c>
      <c r="G579">
        <v>512</v>
      </c>
      <c r="H579">
        <v>77</v>
      </c>
      <c r="I579">
        <v>64</v>
      </c>
      <c r="J579">
        <v>6.1</v>
      </c>
      <c r="K579" t="s">
        <v>123</v>
      </c>
      <c r="L579" t="s">
        <v>22</v>
      </c>
      <c r="M579" t="s">
        <v>32</v>
      </c>
      <c r="N579" t="s">
        <v>24</v>
      </c>
      <c r="O579" t="s">
        <v>41</v>
      </c>
      <c r="P579" t="s">
        <v>26</v>
      </c>
      <c r="Q579">
        <v>699</v>
      </c>
      <c r="R579">
        <v>571</v>
      </c>
    </row>
    <row r="580" spans="1:18">
      <c r="A580" t="s">
        <v>655</v>
      </c>
      <c r="B580" t="s">
        <v>28</v>
      </c>
      <c r="C580" t="s">
        <v>29</v>
      </c>
      <c r="D580" s="8">
        <v>2020</v>
      </c>
      <c r="E580" s="29">
        <v>6</v>
      </c>
      <c r="F580">
        <v>6</v>
      </c>
      <c r="G580">
        <v>512</v>
      </c>
      <c r="H580">
        <v>96</v>
      </c>
      <c r="I580">
        <v>48</v>
      </c>
      <c r="J580">
        <v>6.7</v>
      </c>
      <c r="K580" t="s">
        <v>30</v>
      </c>
      <c r="L580" t="s">
        <v>22</v>
      </c>
      <c r="M580" t="s">
        <v>32</v>
      </c>
      <c r="N580" t="s">
        <v>33</v>
      </c>
      <c r="O580" t="s">
        <v>25</v>
      </c>
      <c r="P580" t="s">
        <v>26</v>
      </c>
      <c r="Q580">
        <v>599</v>
      </c>
      <c r="R580">
        <v>491</v>
      </c>
    </row>
    <row r="581" spans="1:18">
      <c r="A581" t="s">
        <v>656</v>
      </c>
      <c r="B581" t="s">
        <v>37</v>
      </c>
      <c r="C581" t="s">
        <v>38</v>
      </c>
      <c r="D581" s="8">
        <v>2022</v>
      </c>
      <c r="E581" s="29">
        <v>4</v>
      </c>
      <c r="F581">
        <v>6</v>
      </c>
      <c r="G581">
        <v>512</v>
      </c>
      <c r="H581">
        <v>79</v>
      </c>
      <c r="I581">
        <v>50</v>
      </c>
      <c r="J581">
        <v>6.67</v>
      </c>
      <c r="K581" t="s">
        <v>39</v>
      </c>
      <c r="L581" t="s">
        <v>59</v>
      </c>
      <c r="M581" t="s">
        <v>23</v>
      </c>
      <c r="N581" t="s">
        <v>24</v>
      </c>
      <c r="O581" t="s">
        <v>25</v>
      </c>
      <c r="P581" t="s">
        <v>26</v>
      </c>
      <c r="Q581">
        <v>599</v>
      </c>
      <c r="R581">
        <v>550</v>
      </c>
    </row>
    <row r="582" spans="1:18">
      <c r="A582" t="s">
        <v>657</v>
      </c>
      <c r="B582" t="s">
        <v>89</v>
      </c>
      <c r="C582" t="s">
        <v>115</v>
      </c>
      <c r="D582" s="8">
        <v>2020</v>
      </c>
      <c r="E582" s="29">
        <v>6</v>
      </c>
      <c r="F582">
        <v>4</v>
      </c>
      <c r="G582">
        <v>128</v>
      </c>
      <c r="H582">
        <v>82</v>
      </c>
      <c r="I582">
        <v>64</v>
      </c>
      <c r="J582">
        <v>6.1</v>
      </c>
      <c r="K582" t="s">
        <v>116</v>
      </c>
      <c r="L582" t="s">
        <v>31</v>
      </c>
      <c r="M582" t="s">
        <v>60</v>
      </c>
      <c r="N582" t="s">
        <v>33</v>
      </c>
      <c r="O582" t="s">
        <v>61</v>
      </c>
      <c r="P582" t="s">
        <v>35</v>
      </c>
      <c r="Q582">
        <v>999</v>
      </c>
      <c r="R582">
        <v>866</v>
      </c>
    </row>
    <row r="583" spans="1:18">
      <c r="A583" t="s">
        <v>658</v>
      </c>
      <c r="B583" t="s">
        <v>44</v>
      </c>
      <c r="C583" t="s">
        <v>45</v>
      </c>
      <c r="D583" s="8">
        <v>2021</v>
      </c>
      <c r="E583" s="29">
        <v>5</v>
      </c>
      <c r="F583">
        <v>8</v>
      </c>
      <c r="G583">
        <v>512</v>
      </c>
      <c r="H583">
        <v>92</v>
      </c>
      <c r="I583">
        <v>12</v>
      </c>
      <c r="J583">
        <v>6.7</v>
      </c>
      <c r="K583" t="s">
        <v>46</v>
      </c>
      <c r="L583" t="s">
        <v>59</v>
      </c>
      <c r="M583" t="s">
        <v>40</v>
      </c>
      <c r="N583" t="s">
        <v>33</v>
      </c>
      <c r="O583" t="s">
        <v>48</v>
      </c>
      <c r="P583" t="s">
        <v>35</v>
      </c>
      <c r="Q583">
        <v>799</v>
      </c>
      <c r="R583">
        <v>730</v>
      </c>
    </row>
    <row r="584" spans="1:18">
      <c r="A584" t="s">
        <v>659</v>
      </c>
      <c r="B584" t="s">
        <v>77</v>
      </c>
      <c r="C584" t="s">
        <v>78</v>
      </c>
      <c r="D584" s="8">
        <v>2021</v>
      </c>
      <c r="E584" s="29">
        <v>5</v>
      </c>
      <c r="F584">
        <v>6</v>
      </c>
      <c r="G584">
        <v>256</v>
      </c>
      <c r="H584">
        <v>91</v>
      </c>
      <c r="I584">
        <v>64</v>
      </c>
      <c r="J584">
        <v>6.7</v>
      </c>
      <c r="K584" t="s">
        <v>79</v>
      </c>
      <c r="L584" t="s">
        <v>59</v>
      </c>
      <c r="M584" t="s">
        <v>40</v>
      </c>
      <c r="N584" t="s">
        <v>24</v>
      </c>
      <c r="O584" t="s">
        <v>34</v>
      </c>
      <c r="P584" t="s">
        <v>35</v>
      </c>
      <c r="Q584">
        <v>699</v>
      </c>
      <c r="R584">
        <v>624</v>
      </c>
    </row>
    <row r="585" spans="1:18">
      <c r="A585" t="s">
        <v>660</v>
      </c>
      <c r="B585" t="s">
        <v>37</v>
      </c>
      <c r="C585" t="s">
        <v>38</v>
      </c>
      <c r="D585" s="8">
        <v>2023</v>
      </c>
      <c r="E585" s="29">
        <v>3</v>
      </c>
      <c r="F585">
        <v>6</v>
      </c>
      <c r="G585">
        <v>128</v>
      </c>
      <c r="H585">
        <v>78</v>
      </c>
      <c r="I585">
        <v>48</v>
      </c>
      <c r="J585">
        <v>6.1</v>
      </c>
      <c r="K585" t="s">
        <v>39</v>
      </c>
      <c r="L585" t="s">
        <v>59</v>
      </c>
      <c r="M585" t="s">
        <v>60</v>
      </c>
      <c r="N585" t="s">
        <v>24</v>
      </c>
      <c r="O585" t="s">
        <v>52</v>
      </c>
      <c r="P585" t="s">
        <v>35</v>
      </c>
      <c r="Q585">
        <v>599</v>
      </c>
      <c r="R585">
        <v>526</v>
      </c>
    </row>
    <row r="586" spans="1:18">
      <c r="A586" t="s">
        <v>661</v>
      </c>
      <c r="B586" t="s">
        <v>44</v>
      </c>
      <c r="C586" t="s">
        <v>45</v>
      </c>
      <c r="D586" s="8">
        <v>2021</v>
      </c>
      <c r="E586" s="29">
        <v>5</v>
      </c>
      <c r="F586">
        <v>4</v>
      </c>
      <c r="G586">
        <v>128</v>
      </c>
      <c r="H586">
        <v>86</v>
      </c>
      <c r="I586">
        <v>12</v>
      </c>
      <c r="J586">
        <v>6.78</v>
      </c>
      <c r="K586" t="s">
        <v>46</v>
      </c>
      <c r="L586" t="s">
        <v>22</v>
      </c>
      <c r="M586" t="s">
        <v>47</v>
      </c>
      <c r="N586" t="s">
        <v>33</v>
      </c>
      <c r="O586" t="s">
        <v>48</v>
      </c>
      <c r="P586" t="s">
        <v>26</v>
      </c>
      <c r="Q586">
        <v>799</v>
      </c>
      <c r="R586">
        <v>525</v>
      </c>
    </row>
    <row r="587" spans="1:18">
      <c r="A587" t="s">
        <v>662</v>
      </c>
      <c r="B587" t="s">
        <v>64</v>
      </c>
      <c r="C587" t="s">
        <v>65</v>
      </c>
      <c r="D587" s="8">
        <v>2024</v>
      </c>
      <c r="E587" s="29">
        <v>2</v>
      </c>
      <c r="F587">
        <v>12</v>
      </c>
      <c r="G587">
        <v>512</v>
      </c>
      <c r="H587">
        <v>93</v>
      </c>
      <c r="I587">
        <v>50</v>
      </c>
      <c r="J587">
        <v>6.7</v>
      </c>
      <c r="K587" t="s">
        <v>66</v>
      </c>
      <c r="L587" t="s">
        <v>59</v>
      </c>
      <c r="M587" t="s">
        <v>60</v>
      </c>
      <c r="N587" t="s">
        <v>33</v>
      </c>
      <c r="O587" t="s">
        <v>41</v>
      </c>
      <c r="P587" t="s">
        <v>26</v>
      </c>
      <c r="Q587">
        <v>499</v>
      </c>
      <c r="R587">
        <v>489</v>
      </c>
    </row>
    <row r="588" spans="1:18">
      <c r="A588" t="s">
        <v>663</v>
      </c>
      <c r="B588" t="s">
        <v>77</v>
      </c>
      <c r="C588" t="s">
        <v>78</v>
      </c>
      <c r="D588" s="8">
        <v>2023</v>
      </c>
      <c r="E588" s="29">
        <v>3</v>
      </c>
      <c r="F588">
        <v>12</v>
      </c>
      <c r="G588">
        <v>512</v>
      </c>
      <c r="H588">
        <v>90</v>
      </c>
      <c r="I588">
        <v>48</v>
      </c>
      <c r="J588">
        <v>6.7</v>
      </c>
      <c r="K588" t="s">
        <v>79</v>
      </c>
      <c r="L588" t="s">
        <v>22</v>
      </c>
      <c r="M588" t="s">
        <v>32</v>
      </c>
      <c r="N588" t="s">
        <v>33</v>
      </c>
      <c r="O588" t="s">
        <v>61</v>
      </c>
      <c r="P588" t="s">
        <v>35</v>
      </c>
      <c r="Q588">
        <v>699</v>
      </c>
      <c r="R588">
        <v>579</v>
      </c>
    </row>
    <row r="589" spans="1:18">
      <c r="A589" t="s">
        <v>664</v>
      </c>
      <c r="B589" t="s">
        <v>73</v>
      </c>
      <c r="C589" t="s">
        <v>105</v>
      </c>
      <c r="D589" s="8">
        <v>2020</v>
      </c>
      <c r="E589" s="29">
        <v>6</v>
      </c>
      <c r="F589">
        <v>6</v>
      </c>
      <c r="G589">
        <v>128</v>
      </c>
      <c r="H589">
        <v>76</v>
      </c>
      <c r="I589">
        <v>48</v>
      </c>
      <c r="J589">
        <v>6.7</v>
      </c>
      <c r="K589" t="s">
        <v>75</v>
      </c>
      <c r="L589" t="s">
        <v>22</v>
      </c>
      <c r="M589" t="s">
        <v>32</v>
      </c>
      <c r="N589" t="s">
        <v>33</v>
      </c>
      <c r="O589" t="s">
        <v>41</v>
      </c>
      <c r="P589" t="s">
        <v>26</v>
      </c>
      <c r="Q589">
        <v>899</v>
      </c>
      <c r="R589">
        <v>606</v>
      </c>
    </row>
    <row r="590" spans="1:18">
      <c r="A590" t="s">
        <v>665</v>
      </c>
      <c r="B590" t="s">
        <v>68</v>
      </c>
      <c r="C590" t="s">
        <v>81</v>
      </c>
      <c r="D590" s="8">
        <v>2021</v>
      </c>
      <c r="E590" s="29">
        <v>5</v>
      </c>
      <c r="F590">
        <v>12</v>
      </c>
      <c r="G590">
        <v>64</v>
      </c>
      <c r="H590">
        <v>77</v>
      </c>
      <c r="I590">
        <v>12</v>
      </c>
      <c r="J590">
        <v>6.1</v>
      </c>
      <c r="K590" t="s">
        <v>82</v>
      </c>
      <c r="L590" t="s">
        <v>31</v>
      </c>
      <c r="M590" t="s">
        <v>86</v>
      </c>
      <c r="N590" t="s">
        <v>24</v>
      </c>
      <c r="O590" t="s">
        <v>34</v>
      </c>
      <c r="P590" t="s">
        <v>26</v>
      </c>
      <c r="Q590">
        <v>299</v>
      </c>
      <c r="R590">
        <v>289</v>
      </c>
    </row>
    <row r="591" spans="1:18">
      <c r="A591" t="s">
        <v>666</v>
      </c>
      <c r="B591" t="s">
        <v>37</v>
      </c>
      <c r="C591" t="s">
        <v>38</v>
      </c>
      <c r="D591" s="8">
        <v>2023</v>
      </c>
      <c r="E591" s="29">
        <v>3</v>
      </c>
      <c r="F591">
        <v>8</v>
      </c>
      <c r="G591">
        <v>512</v>
      </c>
      <c r="H591">
        <v>80</v>
      </c>
      <c r="I591">
        <v>50</v>
      </c>
      <c r="J591">
        <v>6.4</v>
      </c>
      <c r="K591" t="s">
        <v>39</v>
      </c>
      <c r="L591" t="s">
        <v>22</v>
      </c>
      <c r="M591" t="s">
        <v>47</v>
      </c>
      <c r="N591" t="s">
        <v>24</v>
      </c>
      <c r="O591" t="s">
        <v>41</v>
      </c>
      <c r="P591" t="s">
        <v>35</v>
      </c>
      <c r="Q591">
        <v>599</v>
      </c>
      <c r="R591">
        <v>518</v>
      </c>
    </row>
    <row r="592" spans="1:18">
      <c r="A592" t="s">
        <v>667</v>
      </c>
      <c r="B592" t="s">
        <v>19</v>
      </c>
      <c r="C592" t="s">
        <v>20</v>
      </c>
      <c r="D592" s="8">
        <v>2021</v>
      </c>
      <c r="E592" s="29">
        <v>5</v>
      </c>
      <c r="F592">
        <v>4</v>
      </c>
      <c r="G592">
        <v>128</v>
      </c>
      <c r="H592">
        <v>100</v>
      </c>
      <c r="I592">
        <v>48</v>
      </c>
      <c r="J592">
        <v>6.7</v>
      </c>
      <c r="K592" t="s">
        <v>21</v>
      </c>
      <c r="L592" t="s">
        <v>31</v>
      </c>
      <c r="M592" t="s">
        <v>86</v>
      </c>
      <c r="N592" t="s">
        <v>33</v>
      </c>
      <c r="O592" t="s">
        <v>52</v>
      </c>
      <c r="P592" t="s">
        <v>35</v>
      </c>
      <c r="Q592">
        <v>599</v>
      </c>
      <c r="R592">
        <v>544</v>
      </c>
    </row>
    <row r="593" spans="1:18">
      <c r="A593" t="s">
        <v>668</v>
      </c>
      <c r="B593" t="s">
        <v>19</v>
      </c>
      <c r="C593" t="s">
        <v>20</v>
      </c>
      <c r="D593" s="8">
        <v>2021</v>
      </c>
      <c r="E593" s="29">
        <v>5</v>
      </c>
      <c r="F593">
        <v>6</v>
      </c>
      <c r="G593">
        <v>512</v>
      </c>
      <c r="H593">
        <v>79</v>
      </c>
      <c r="I593">
        <v>108</v>
      </c>
      <c r="J593">
        <v>6.1</v>
      </c>
      <c r="K593" t="s">
        <v>21</v>
      </c>
      <c r="L593" t="s">
        <v>59</v>
      </c>
      <c r="M593" t="s">
        <v>32</v>
      </c>
      <c r="N593" t="s">
        <v>24</v>
      </c>
      <c r="O593" t="s">
        <v>25</v>
      </c>
      <c r="P593" t="s">
        <v>35</v>
      </c>
      <c r="Q593">
        <v>599</v>
      </c>
      <c r="R593">
        <v>556</v>
      </c>
    </row>
    <row r="594" spans="1:18">
      <c r="A594" t="s">
        <v>669</v>
      </c>
      <c r="B594" t="s">
        <v>64</v>
      </c>
      <c r="C594" t="s">
        <v>65</v>
      </c>
      <c r="D594" s="8">
        <v>2021</v>
      </c>
      <c r="E594" s="29">
        <v>5</v>
      </c>
      <c r="F594">
        <v>12</v>
      </c>
      <c r="G594">
        <v>512</v>
      </c>
      <c r="H594">
        <v>87</v>
      </c>
      <c r="I594">
        <v>64</v>
      </c>
      <c r="J594">
        <v>6.1</v>
      </c>
      <c r="K594" t="s">
        <v>66</v>
      </c>
      <c r="L594" t="s">
        <v>59</v>
      </c>
      <c r="M594" t="s">
        <v>23</v>
      </c>
      <c r="N594" t="s">
        <v>33</v>
      </c>
      <c r="O594" t="s">
        <v>25</v>
      </c>
      <c r="P594" t="s">
        <v>26</v>
      </c>
      <c r="Q594">
        <v>499</v>
      </c>
      <c r="R594">
        <v>489</v>
      </c>
    </row>
    <row r="595" spans="1:18">
      <c r="A595" t="s">
        <v>670</v>
      </c>
      <c r="B595" t="s">
        <v>37</v>
      </c>
      <c r="C595" t="s">
        <v>38</v>
      </c>
      <c r="D595" s="8">
        <v>2023</v>
      </c>
      <c r="E595" s="29">
        <v>3</v>
      </c>
      <c r="F595">
        <v>6</v>
      </c>
      <c r="G595">
        <v>512</v>
      </c>
      <c r="H595">
        <v>84</v>
      </c>
      <c r="I595">
        <v>108</v>
      </c>
      <c r="J595">
        <v>6.4</v>
      </c>
      <c r="K595" t="s">
        <v>39</v>
      </c>
      <c r="L595" t="s">
        <v>57</v>
      </c>
      <c r="M595" t="s">
        <v>23</v>
      </c>
      <c r="N595" t="s">
        <v>33</v>
      </c>
      <c r="O595" t="s">
        <v>34</v>
      </c>
      <c r="P595" t="s">
        <v>26</v>
      </c>
      <c r="Q595">
        <v>599</v>
      </c>
      <c r="R595">
        <v>418</v>
      </c>
    </row>
    <row r="596" spans="1:18">
      <c r="A596" t="s">
        <v>671</v>
      </c>
      <c r="B596" t="s">
        <v>73</v>
      </c>
      <c r="C596" t="s">
        <v>74</v>
      </c>
      <c r="D596" s="8">
        <v>2022</v>
      </c>
      <c r="E596" s="29">
        <v>4</v>
      </c>
      <c r="F596">
        <v>12</v>
      </c>
      <c r="G596">
        <v>64</v>
      </c>
      <c r="H596">
        <v>92</v>
      </c>
      <c r="I596">
        <v>108</v>
      </c>
      <c r="J596">
        <v>6.7</v>
      </c>
      <c r="K596" t="s">
        <v>75</v>
      </c>
      <c r="L596" t="s">
        <v>31</v>
      </c>
      <c r="M596" t="s">
        <v>47</v>
      </c>
      <c r="N596" t="s">
        <v>24</v>
      </c>
      <c r="O596" t="s">
        <v>25</v>
      </c>
      <c r="P596" t="s">
        <v>26</v>
      </c>
      <c r="Q596">
        <v>799</v>
      </c>
      <c r="R596">
        <v>727</v>
      </c>
    </row>
    <row r="597" spans="1:18">
      <c r="A597" t="s">
        <v>672</v>
      </c>
      <c r="B597" t="s">
        <v>89</v>
      </c>
      <c r="C597" t="s">
        <v>115</v>
      </c>
      <c r="D597" s="8">
        <v>2021</v>
      </c>
      <c r="E597" s="29">
        <v>5</v>
      </c>
      <c r="F597">
        <v>4</v>
      </c>
      <c r="G597">
        <v>512</v>
      </c>
      <c r="H597">
        <v>98</v>
      </c>
      <c r="I597">
        <v>12</v>
      </c>
      <c r="J597">
        <v>6.78</v>
      </c>
      <c r="K597" t="s">
        <v>116</v>
      </c>
      <c r="L597" t="s">
        <v>22</v>
      </c>
      <c r="M597" t="s">
        <v>86</v>
      </c>
      <c r="N597" t="s">
        <v>24</v>
      </c>
      <c r="O597" t="s">
        <v>84</v>
      </c>
      <c r="P597" t="s">
        <v>26</v>
      </c>
      <c r="Q597">
        <v>999</v>
      </c>
      <c r="R597">
        <v>717</v>
      </c>
    </row>
    <row r="598" spans="1:18">
      <c r="A598" t="s">
        <v>673</v>
      </c>
      <c r="B598" t="s">
        <v>68</v>
      </c>
      <c r="C598" t="s">
        <v>81</v>
      </c>
      <c r="D598" s="8">
        <v>2024</v>
      </c>
      <c r="E598" s="29">
        <v>2</v>
      </c>
      <c r="F598">
        <v>4</v>
      </c>
      <c r="G598">
        <v>64</v>
      </c>
      <c r="H598">
        <v>84</v>
      </c>
      <c r="I598">
        <v>64</v>
      </c>
      <c r="J598">
        <v>6.78</v>
      </c>
      <c r="K598" t="s">
        <v>82</v>
      </c>
      <c r="L598" t="s">
        <v>57</v>
      </c>
      <c r="M598" t="s">
        <v>86</v>
      </c>
      <c r="N598" t="s">
        <v>24</v>
      </c>
      <c r="O598" t="s">
        <v>87</v>
      </c>
      <c r="P598" t="s">
        <v>35</v>
      </c>
      <c r="Q598">
        <v>299</v>
      </c>
      <c r="R598">
        <v>191</v>
      </c>
    </row>
    <row r="599" spans="1:18">
      <c r="A599" t="s">
        <v>674</v>
      </c>
      <c r="B599" t="s">
        <v>37</v>
      </c>
      <c r="C599" t="s">
        <v>38</v>
      </c>
      <c r="D599" s="8">
        <v>2023</v>
      </c>
      <c r="E599" s="29">
        <v>3</v>
      </c>
      <c r="F599">
        <v>4</v>
      </c>
      <c r="G599">
        <v>256</v>
      </c>
      <c r="H599">
        <v>88</v>
      </c>
      <c r="I599">
        <v>12</v>
      </c>
      <c r="J599">
        <v>6.7</v>
      </c>
      <c r="K599" t="s">
        <v>39</v>
      </c>
      <c r="L599" t="s">
        <v>22</v>
      </c>
      <c r="M599" t="s">
        <v>40</v>
      </c>
      <c r="N599" t="s">
        <v>33</v>
      </c>
      <c r="O599" t="s">
        <v>87</v>
      </c>
      <c r="P599" t="s">
        <v>26</v>
      </c>
      <c r="Q599">
        <v>599</v>
      </c>
      <c r="R599">
        <v>417</v>
      </c>
    </row>
    <row r="600" spans="1:18">
      <c r="A600" t="s">
        <v>675</v>
      </c>
      <c r="B600" t="s">
        <v>44</v>
      </c>
      <c r="C600" t="s">
        <v>45</v>
      </c>
      <c r="D600" s="8">
        <v>2020</v>
      </c>
      <c r="E600" s="29">
        <v>6</v>
      </c>
      <c r="F600">
        <v>12</v>
      </c>
      <c r="G600">
        <v>256</v>
      </c>
      <c r="H600">
        <v>80</v>
      </c>
      <c r="I600">
        <v>48</v>
      </c>
      <c r="J600">
        <v>6.4</v>
      </c>
      <c r="K600" t="s">
        <v>46</v>
      </c>
      <c r="L600" t="s">
        <v>22</v>
      </c>
      <c r="M600" t="s">
        <v>40</v>
      </c>
      <c r="N600" t="s">
        <v>24</v>
      </c>
      <c r="O600" t="s">
        <v>41</v>
      </c>
      <c r="P600" t="s">
        <v>26</v>
      </c>
      <c r="Q600">
        <v>799</v>
      </c>
      <c r="R600">
        <v>598</v>
      </c>
    </row>
    <row r="601" spans="1:18">
      <c r="A601" t="s">
        <v>676</v>
      </c>
      <c r="B601" t="s">
        <v>68</v>
      </c>
      <c r="C601" t="s">
        <v>81</v>
      </c>
      <c r="D601" s="8">
        <v>2022</v>
      </c>
      <c r="E601" s="29">
        <v>4</v>
      </c>
      <c r="F601">
        <v>6</v>
      </c>
      <c r="G601">
        <v>64</v>
      </c>
      <c r="H601">
        <v>90</v>
      </c>
      <c r="I601">
        <v>64</v>
      </c>
      <c r="J601">
        <v>6.7</v>
      </c>
      <c r="K601" t="s">
        <v>82</v>
      </c>
      <c r="L601" t="s">
        <v>22</v>
      </c>
      <c r="M601" t="s">
        <v>47</v>
      </c>
      <c r="N601" t="s">
        <v>24</v>
      </c>
      <c r="O601" t="s">
        <v>25</v>
      </c>
      <c r="P601" t="s">
        <v>26</v>
      </c>
      <c r="Q601">
        <v>299</v>
      </c>
      <c r="R601">
        <v>215</v>
      </c>
    </row>
    <row r="602" spans="1:18">
      <c r="A602" t="s">
        <v>677</v>
      </c>
      <c r="B602" t="s">
        <v>77</v>
      </c>
      <c r="C602" t="s">
        <v>78</v>
      </c>
      <c r="D602" s="8">
        <v>2020</v>
      </c>
      <c r="E602" s="29">
        <v>6</v>
      </c>
      <c r="F602">
        <v>6</v>
      </c>
      <c r="G602">
        <v>64</v>
      </c>
      <c r="H602">
        <v>86</v>
      </c>
      <c r="I602">
        <v>48</v>
      </c>
      <c r="J602">
        <v>6.7</v>
      </c>
      <c r="K602" t="s">
        <v>79</v>
      </c>
      <c r="L602" t="s">
        <v>59</v>
      </c>
      <c r="M602" t="s">
        <v>47</v>
      </c>
      <c r="N602" t="s">
        <v>24</v>
      </c>
      <c r="O602" t="s">
        <v>87</v>
      </c>
      <c r="P602" t="s">
        <v>26</v>
      </c>
      <c r="Q602">
        <v>699</v>
      </c>
      <c r="R602">
        <v>593</v>
      </c>
    </row>
    <row r="603" spans="1:18">
      <c r="A603" t="s">
        <v>678</v>
      </c>
      <c r="B603" t="s">
        <v>37</v>
      </c>
      <c r="C603" t="s">
        <v>38</v>
      </c>
      <c r="D603" s="8">
        <v>2024</v>
      </c>
      <c r="E603" s="29">
        <v>2</v>
      </c>
      <c r="F603">
        <v>8</v>
      </c>
      <c r="G603">
        <v>64</v>
      </c>
      <c r="H603">
        <v>92</v>
      </c>
      <c r="I603">
        <v>12</v>
      </c>
      <c r="J603">
        <v>6.1</v>
      </c>
      <c r="K603" t="s">
        <v>39</v>
      </c>
      <c r="L603" t="s">
        <v>59</v>
      </c>
      <c r="M603" t="s">
        <v>86</v>
      </c>
      <c r="N603" t="s">
        <v>24</v>
      </c>
      <c r="O603" t="s">
        <v>48</v>
      </c>
      <c r="P603" t="s">
        <v>26</v>
      </c>
      <c r="Q603">
        <v>599</v>
      </c>
      <c r="R603">
        <v>479</v>
      </c>
    </row>
    <row r="604" spans="1:18">
      <c r="A604" t="s">
        <v>679</v>
      </c>
      <c r="B604" t="s">
        <v>64</v>
      </c>
      <c r="C604" t="s">
        <v>65</v>
      </c>
      <c r="D604" s="8">
        <v>2022</v>
      </c>
      <c r="E604" s="29">
        <v>4</v>
      </c>
      <c r="F604">
        <v>4</v>
      </c>
      <c r="G604">
        <v>64</v>
      </c>
      <c r="H604">
        <v>83</v>
      </c>
      <c r="I604">
        <v>108</v>
      </c>
      <c r="J604">
        <v>6.67</v>
      </c>
      <c r="K604" t="s">
        <v>66</v>
      </c>
      <c r="L604" t="s">
        <v>31</v>
      </c>
      <c r="M604" t="s">
        <v>23</v>
      </c>
      <c r="N604" t="s">
        <v>24</v>
      </c>
      <c r="O604" t="s">
        <v>52</v>
      </c>
      <c r="P604" t="s">
        <v>35</v>
      </c>
      <c r="Q604">
        <v>499</v>
      </c>
      <c r="R604">
        <v>477</v>
      </c>
    </row>
    <row r="605" spans="1:18">
      <c r="A605" t="s">
        <v>680</v>
      </c>
      <c r="B605" t="s">
        <v>28</v>
      </c>
      <c r="C605" t="s">
        <v>29</v>
      </c>
      <c r="D605" s="8">
        <v>2021</v>
      </c>
      <c r="E605" s="29">
        <v>5</v>
      </c>
      <c r="F605">
        <v>4</v>
      </c>
      <c r="G605">
        <v>256</v>
      </c>
      <c r="H605">
        <v>90</v>
      </c>
      <c r="I605">
        <v>48</v>
      </c>
      <c r="J605">
        <v>6.7</v>
      </c>
      <c r="K605" t="s">
        <v>30</v>
      </c>
      <c r="L605" t="s">
        <v>22</v>
      </c>
      <c r="M605" t="s">
        <v>86</v>
      </c>
      <c r="N605" t="s">
        <v>24</v>
      </c>
      <c r="O605" t="s">
        <v>34</v>
      </c>
      <c r="P605" t="s">
        <v>26</v>
      </c>
      <c r="Q605">
        <v>599</v>
      </c>
      <c r="R605">
        <v>432</v>
      </c>
    </row>
    <row r="606" spans="1:18">
      <c r="A606" t="s">
        <v>681</v>
      </c>
      <c r="B606" t="s">
        <v>68</v>
      </c>
      <c r="C606" t="s">
        <v>81</v>
      </c>
      <c r="D606" s="8">
        <v>2023</v>
      </c>
      <c r="E606" s="29">
        <v>3</v>
      </c>
      <c r="F606">
        <v>6</v>
      </c>
      <c r="G606">
        <v>64</v>
      </c>
      <c r="H606">
        <v>100</v>
      </c>
      <c r="I606">
        <v>12</v>
      </c>
      <c r="J606">
        <v>6.2</v>
      </c>
      <c r="K606" t="s">
        <v>82</v>
      </c>
      <c r="L606" t="s">
        <v>22</v>
      </c>
      <c r="M606" t="s">
        <v>86</v>
      </c>
      <c r="N606" t="s">
        <v>24</v>
      </c>
      <c r="O606" t="s">
        <v>41</v>
      </c>
      <c r="P606" t="s">
        <v>35</v>
      </c>
      <c r="Q606">
        <v>299</v>
      </c>
      <c r="R606">
        <v>224</v>
      </c>
    </row>
    <row r="607" spans="1:18">
      <c r="A607" t="s">
        <v>682</v>
      </c>
      <c r="B607" t="s">
        <v>28</v>
      </c>
      <c r="C607" t="s">
        <v>29</v>
      </c>
      <c r="D607" s="8">
        <v>2020</v>
      </c>
      <c r="E607" s="29">
        <v>6</v>
      </c>
      <c r="F607">
        <v>4</v>
      </c>
      <c r="G607">
        <v>512</v>
      </c>
      <c r="H607">
        <v>100</v>
      </c>
      <c r="I607">
        <v>12</v>
      </c>
      <c r="J607">
        <v>6.78</v>
      </c>
      <c r="K607" t="s">
        <v>30</v>
      </c>
      <c r="L607" t="s">
        <v>59</v>
      </c>
      <c r="M607" t="s">
        <v>23</v>
      </c>
      <c r="N607" t="s">
        <v>33</v>
      </c>
      <c r="O607" t="s">
        <v>34</v>
      </c>
      <c r="P607" t="s">
        <v>35</v>
      </c>
      <c r="Q607">
        <v>599</v>
      </c>
      <c r="R607">
        <v>589</v>
      </c>
    </row>
    <row r="608" spans="1:18">
      <c r="A608" t="s">
        <v>683</v>
      </c>
      <c r="B608" t="s">
        <v>28</v>
      </c>
      <c r="C608" t="s">
        <v>29</v>
      </c>
      <c r="D608" s="8">
        <v>2022</v>
      </c>
      <c r="E608" s="29">
        <v>4</v>
      </c>
      <c r="F608">
        <v>6</v>
      </c>
      <c r="G608">
        <v>128</v>
      </c>
      <c r="H608">
        <v>89</v>
      </c>
      <c r="I608">
        <v>48</v>
      </c>
      <c r="J608">
        <v>6.4</v>
      </c>
      <c r="K608" t="s">
        <v>30</v>
      </c>
      <c r="L608" t="s">
        <v>22</v>
      </c>
      <c r="M608" t="s">
        <v>32</v>
      </c>
      <c r="N608" t="s">
        <v>33</v>
      </c>
      <c r="O608" t="s">
        <v>52</v>
      </c>
      <c r="P608" t="s">
        <v>26</v>
      </c>
      <c r="Q608">
        <v>599</v>
      </c>
      <c r="R608">
        <v>447</v>
      </c>
    </row>
    <row r="609" spans="1:18">
      <c r="A609" t="s">
        <v>684</v>
      </c>
      <c r="B609" t="s">
        <v>54</v>
      </c>
      <c r="C609" t="s">
        <v>55</v>
      </c>
      <c r="D609" s="8">
        <v>2020</v>
      </c>
      <c r="E609" s="29">
        <v>6</v>
      </c>
      <c r="F609">
        <v>8</v>
      </c>
      <c r="G609">
        <v>512</v>
      </c>
      <c r="H609">
        <v>76</v>
      </c>
      <c r="I609">
        <v>64</v>
      </c>
      <c r="J609">
        <v>6.1</v>
      </c>
      <c r="K609" t="s">
        <v>56</v>
      </c>
      <c r="L609" t="s">
        <v>59</v>
      </c>
      <c r="M609" t="s">
        <v>32</v>
      </c>
      <c r="N609" t="s">
        <v>33</v>
      </c>
      <c r="O609" t="s">
        <v>41</v>
      </c>
      <c r="P609" t="s">
        <v>35</v>
      </c>
      <c r="Q609">
        <v>549</v>
      </c>
      <c r="R609">
        <v>516</v>
      </c>
    </row>
    <row r="610" spans="1:18">
      <c r="A610" t="s">
        <v>685</v>
      </c>
      <c r="B610" t="s">
        <v>19</v>
      </c>
      <c r="C610" t="s">
        <v>20</v>
      </c>
      <c r="D610" s="8">
        <v>2020</v>
      </c>
      <c r="E610" s="29">
        <v>6</v>
      </c>
      <c r="F610">
        <v>6</v>
      </c>
      <c r="G610">
        <v>128</v>
      </c>
      <c r="H610">
        <v>82</v>
      </c>
      <c r="I610">
        <v>50</v>
      </c>
      <c r="J610">
        <v>6.5</v>
      </c>
      <c r="K610" t="s">
        <v>21</v>
      </c>
      <c r="L610" t="s">
        <v>59</v>
      </c>
      <c r="M610" t="s">
        <v>47</v>
      </c>
      <c r="N610" t="s">
        <v>24</v>
      </c>
      <c r="O610" t="s">
        <v>41</v>
      </c>
      <c r="P610" t="s">
        <v>26</v>
      </c>
      <c r="Q610">
        <v>599</v>
      </c>
      <c r="R610">
        <v>499</v>
      </c>
    </row>
    <row r="611" spans="1:18">
      <c r="A611" t="s">
        <v>686</v>
      </c>
      <c r="B611" t="s">
        <v>64</v>
      </c>
      <c r="C611" t="s">
        <v>65</v>
      </c>
      <c r="D611" s="8">
        <v>2023</v>
      </c>
      <c r="E611" s="29">
        <v>3</v>
      </c>
      <c r="F611">
        <v>6</v>
      </c>
      <c r="G611">
        <v>128</v>
      </c>
      <c r="H611">
        <v>89</v>
      </c>
      <c r="I611">
        <v>50</v>
      </c>
      <c r="J611">
        <v>6.2</v>
      </c>
      <c r="K611" t="s">
        <v>66</v>
      </c>
      <c r="L611" t="s">
        <v>22</v>
      </c>
      <c r="M611" t="s">
        <v>40</v>
      </c>
      <c r="N611" t="s">
        <v>24</v>
      </c>
      <c r="O611" t="s">
        <v>61</v>
      </c>
      <c r="P611" t="s">
        <v>26</v>
      </c>
      <c r="Q611">
        <v>499</v>
      </c>
      <c r="R611">
        <v>339</v>
      </c>
    </row>
    <row r="612" spans="1:18">
      <c r="A612" t="s">
        <v>687</v>
      </c>
      <c r="B612" t="s">
        <v>73</v>
      </c>
      <c r="C612" t="s">
        <v>122</v>
      </c>
      <c r="D612" s="8">
        <v>2024</v>
      </c>
      <c r="E612" s="29">
        <v>2</v>
      </c>
      <c r="F612">
        <v>6</v>
      </c>
      <c r="G612">
        <v>64</v>
      </c>
      <c r="H612">
        <v>85</v>
      </c>
      <c r="I612">
        <v>12</v>
      </c>
      <c r="J612">
        <v>6.2</v>
      </c>
      <c r="K612" t="s">
        <v>123</v>
      </c>
      <c r="L612" t="s">
        <v>59</v>
      </c>
      <c r="M612" t="s">
        <v>47</v>
      </c>
      <c r="N612" t="s">
        <v>33</v>
      </c>
      <c r="O612" t="s">
        <v>41</v>
      </c>
      <c r="P612" t="s">
        <v>26</v>
      </c>
      <c r="Q612">
        <v>699</v>
      </c>
      <c r="R612">
        <v>580</v>
      </c>
    </row>
    <row r="613" spans="1:18">
      <c r="A613" t="s">
        <v>688</v>
      </c>
      <c r="B613" t="s">
        <v>68</v>
      </c>
      <c r="C613" t="s">
        <v>81</v>
      </c>
      <c r="D613" s="8">
        <v>2023</v>
      </c>
      <c r="E613" s="29">
        <v>3</v>
      </c>
      <c r="F613">
        <v>4</v>
      </c>
      <c r="G613">
        <v>64</v>
      </c>
      <c r="H613">
        <v>77</v>
      </c>
      <c r="I613">
        <v>12</v>
      </c>
      <c r="J613">
        <v>6.2</v>
      </c>
      <c r="K613" t="s">
        <v>82</v>
      </c>
      <c r="L613" t="s">
        <v>31</v>
      </c>
      <c r="M613" t="s">
        <v>60</v>
      </c>
      <c r="N613" t="s">
        <v>33</v>
      </c>
      <c r="O613" t="s">
        <v>48</v>
      </c>
      <c r="P613" t="s">
        <v>35</v>
      </c>
      <c r="Q613">
        <v>299</v>
      </c>
      <c r="R613">
        <v>289</v>
      </c>
    </row>
    <row r="614" spans="1:18">
      <c r="A614" t="s">
        <v>689</v>
      </c>
      <c r="B614" t="s">
        <v>19</v>
      </c>
      <c r="C614" t="s">
        <v>20</v>
      </c>
      <c r="D614" s="8">
        <v>2020</v>
      </c>
      <c r="E614" s="29">
        <v>6</v>
      </c>
      <c r="F614">
        <v>6</v>
      </c>
      <c r="G614">
        <v>256</v>
      </c>
      <c r="H614">
        <v>83</v>
      </c>
      <c r="I614">
        <v>12</v>
      </c>
      <c r="J614">
        <v>6.67</v>
      </c>
      <c r="K614" t="s">
        <v>21</v>
      </c>
      <c r="L614" t="s">
        <v>22</v>
      </c>
      <c r="M614" t="s">
        <v>32</v>
      </c>
      <c r="N614" t="s">
        <v>33</v>
      </c>
      <c r="O614" t="s">
        <v>41</v>
      </c>
      <c r="P614" t="s">
        <v>26</v>
      </c>
      <c r="Q614">
        <v>599</v>
      </c>
      <c r="R614">
        <v>425</v>
      </c>
    </row>
    <row r="615" spans="1:18">
      <c r="A615" t="s">
        <v>690</v>
      </c>
      <c r="B615" t="s">
        <v>19</v>
      </c>
      <c r="C615" t="s">
        <v>20</v>
      </c>
      <c r="D615" s="8">
        <v>2024</v>
      </c>
      <c r="E615" s="29">
        <v>2</v>
      </c>
      <c r="F615">
        <v>12</v>
      </c>
      <c r="G615">
        <v>64</v>
      </c>
      <c r="H615">
        <v>94</v>
      </c>
      <c r="I615">
        <v>64</v>
      </c>
      <c r="J615">
        <v>6.67</v>
      </c>
      <c r="K615" t="s">
        <v>21</v>
      </c>
      <c r="L615" t="s">
        <v>59</v>
      </c>
      <c r="M615" t="s">
        <v>40</v>
      </c>
      <c r="N615" t="s">
        <v>24</v>
      </c>
      <c r="O615" t="s">
        <v>61</v>
      </c>
      <c r="P615" t="s">
        <v>26</v>
      </c>
      <c r="Q615">
        <v>599</v>
      </c>
      <c r="R615">
        <v>496</v>
      </c>
    </row>
    <row r="616" spans="1:18">
      <c r="A616" t="s">
        <v>691</v>
      </c>
      <c r="B616" t="s">
        <v>73</v>
      </c>
      <c r="C616" t="s">
        <v>74</v>
      </c>
      <c r="D616" s="8">
        <v>2021</v>
      </c>
      <c r="E616" s="29">
        <v>5</v>
      </c>
      <c r="F616">
        <v>4</v>
      </c>
      <c r="G616">
        <v>256</v>
      </c>
      <c r="H616">
        <v>93</v>
      </c>
      <c r="I616">
        <v>48</v>
      </c>
      <c r="J616">
        <v>6.2</v>
      </c>
      <c r="K616" t="s">
        <v>75</v>
      </c>
      <c r="L616" t="s">
        <v>59</v>
      </c>
      <c r="M616" t="s">
        <v>86</v>
      </c>
      <c r="N616" t="s">
        <v>33</v>
      </c>
      <c r="O616" t="s">
        <v>48</v>
      </c>
      <c r="P616" t="s">
        <v>26</v>
      </c>
      <c r="Q616">
        <v>799</v>
      </c>
      <c r="R616">
        <v>675</v>
      </c>
    </row>
    <row r="617" spans="1:18">
      <c r="A617" t="s">
        <v>692</v>
      </c>
      <c r="B617" t="s">
        <v>89</v>
      </c>
      <c r="C617" t="s">
        <v>90</v>
      </c>
      <c r="D617" s="8">
        <v>2022</v>
      </c>
      <c r="E617" s="29">
        <v>4</v>
      </c>
      <c r="F617">
        <v>8</v>
      </c>
      <c r="G617">
        <v>256</v>
      </c>
      <c r="H617">
        <v>94</v>
      </c>
      <c r="I617">
        <v>108</v>
      </c>
      <c r="J617">
        <v>6.2</v>
      </c>
      <c r="K617" t="s">
        <v>91</v>
      </c>
      <c r="L617" t="s">
        <v>31</v>
      </c>
      <c r="M617" t="s">
        <v>40</v>
      </c>
      <c r="N617" t="s">
        <v>33</v>
      </c>
      <c r="O617" t="s">
        <v>61</v>
      </c>
      <c r="P617" t="s">
        <v>35</v>
      </c>
      <c r="Q617">
        <v>449</v>
      </c>
      <c r="R617">
        <v>439</v>
      </c>
    </row>
    <row r="618" spans="1:18">
      <c r="A618" t="s">
        <v>693</v>
      </c>
      <c r="B618" t="s">
        <v>77</v>
      </c>
      <c r="C618" t="s">
        <v>78</v>
      </c>
      <c r="D618" s="8">
        <v>2023</v>
      </c>
      <c r="E618" s="29">
        <v>3</v>
      </c>
      <c r="F618">
        <v>6</v>
      </c>
      <c r="G618">
        <v>64</v>
      </c>
      <c r="H618">
        <v>96</v>
      </c>
      <c r="I618">
        <v>108</v>
      </c>
      <c r="J618">
        <v>6.2</v>
      </c>
      <c r="K618" t="s">
        <v>79</v>
      </c>
      <c r="L618" t="s">
        <v>59</v>
      </c>
      <c r="M618" t="s">
        <v>40</v>
      </c>
      <c r="N618" t="s">
        <v>33</v>
      </c>
      <c r="O618" t="s">
        <v>34</v>
      </c>
      <c r="P618" t="s">
        <v>26</v>
      </c>
      <c r="Q618">
        <v>699</v>
      </c>
      <c r="R618">
        <v>596</v>
      </c>
    </row>
    <row r="619" spans="1:18">
      <c r="A619" t="s">
        <v>694</v>
      </c>
      <c r="B619" t="s">
        <v>54</v>
      </c>
      <c r="C619" t="s">
        <v>55</v>
      </c>
      <c r="D619" s="8">
        <v>2022</v>
      </c>
      <c r="E619" s="29">
        <v>4</v>
      </c>
      <c r="F619">
        <v>6</v>
      </c>
      <c r="G619">
        <v>128</v>
      </c>
      <c r="H619">
        <v>80</v>
      </c>
      <c r="I619">
        <v>50</v>
      </c>
      <c r="J619">
        <v>6.1</v>
      </c>
      <c r="K619" t="s">
        <v>56</v>
      </c>
      <c r="L619" t="s">
        <v>57</v>
      </c>
      <c r="M619" t="s">
        <v>23</v>
      </c>
      <c r="N619" t="s">
        <v>33</v>
      </c>
      <c r="O619" t="s">
        <v>61</v>
      </c>
      <c r="P619" t="s">
        <v>26</v>
      </c>
      <c r="Q619">
        <v>549</v>
      </c>
      <c r="R619">
        <v>334</v>
      </c>
    </row>
    <row r="620" spans="1:18">
      <c r="A620" t="s">
        <v>695</v>
      </c>
      <c r="B620" t="s">
        <v>54</v>
      </c>
      <c r="C620" t="s">
        <v>55</v>
      </c>
      <c r="D620" s="8">
        <v>2023</v>
      </c>
      <c r="E620" s="29">
        <v>3</v>
      </c>
      <c r="F620">
        <v>4</v>
      </c>
      <c r="G620">
        <v>512</v>
      </c>
      <c r="H620">
        <v>84</v>
      </c>
      <c r="I620">
        <v>48</v>
      </c>
      <c r="J620">
        <v>6.1</v>
      </c>
      <c r="K620" t="s">
        <v>56</v>
      </c>
      <c r="L620" t="s">
        <v>31</v>
      </c>
      <c r="M620" t="s">
        <v>40</v>
      </c>
      <c r="N620" t="s">
        <v>33</v>
      </c>
      <c r="O620" t="s">
        <v>25</v>
      </c>
      <c r="P620" t="s">
        <v>35</v>
      </c>
      <c r="Q620">
        <v>549</v>
      </c>
      <c r="R620">
        <v>539</v>
      </c>
    </row>
    <row r="621" spans="1:18">
      <c r="A621" t="s">
        <v>696</v>
      </c>
      <c r="B621" t="s">
        <v>89</v>
      </c>
      <c r="C621" t="s">
        <v>90</v>
      </c>
      <c r="D621" s="8">
        <v>2024</v>
      </c>
      <c r="E621" s="29">
        <v>2</v>
      </c>
      <c r="F621">
        <v>4</v>
      </c>
      <c r="G621">
        <v>256</v>
      </c>
      <c r="H621">
        <v>94</v>
      </c>
      <c r="I621">
        <v>12</v>
      </c>
      <c r="J621">
        <v>6.4</v>
      </c>
      <c r="K621" t="s">
        <v>91</v>
      </c>
      <c r="L621" t="s">
        <v>31</v>
      </c>
      <c r="M621" t="s">
        <v>86</v>
      </c>
      <c r="N621" t="s">
        <v>33</v>
      </c>
      <c r="O621" t="s">
        <v>34</v>
      </c>
      <c r="P621" t="s">
        <v>26</v>
      </c>
      <c r="Q621">
        <v>449</v>
      </c>
      <c r="R621">
        <v>439</v>
      </c>
    </row>
    <row r="622" spans="1:18">
      <c r="A622" t="s">
        <v>697</v>
      </c>
      <c r="B622" t="s">
        <v>89</v>
      </c>
      <c r="C622" t="s">
        <v>90</v>
      </c>
      <c r="D622" s="8">
        <v>2022</v>
      </c>
      <c r="E622" s="29">
        <v>4</v>
      </c>
      <c r="F622">
        <v>6</v>
      </c>
      <c r="G622">
        <v>128</v>
      </c>
      <c r="H622">
        <v>77</v>
      </c>
      <c r="I622">
        <v>48</v>
      </c>
      <c r="J622">
        <v>6.1</v>
      </c>
      <c r="K622" t="s">
        <v>91</v>
      </c>
      <c r="L622" t="s">
        <v>31</v>
      </c>
      <c r="M622" t="s">
        <v>86</v>
      </c>
      <c r="N622" t="s">
        <v>24</v>
      </c>
      <c r="O622" t="s">
        <v>41</v>
      </c>
      <c r="P622" t="s">
        <v>35</v>
      </c>
      <c r="Q622">
        <v>449</v>
      </c>
      <c r="R622">
        <v>439</v>
      </c>
    </row>
    <row r="623" spans="1:18">
      <c r="A623" t="s">
        <v>698</v>
      </c>
      <c r="B623" t="s">
        <v>73</v>
      </c>
      <c r="C623" t="s">
        <v>122</v>
      </c>
      <c r="D623" s="8">
        <v>2020</v>
      </c>
      <c r="E623" s="29">
        <v>6</v>
      </c>
      <c r="F623">
        <v>4</v>
      </c>
      <c r="G623">
        <v>512</v>
      </c>
      <c r="H623">
        <v>92</v>
      </c>
      <c r="I623">
        <v>64</v>
      </c>
      <c r="J623">
        <v>6.78</v>
      </c>
      <c r="K623" t="s">
        <v>123</v>
      </c>
      <c r="L623" t="s">
        <v>57</v>
      </c>
      <c r="M623" t="s">
        <v>23</v>
      </c>
      <c r="N623" t="s">
        <v>33</v>
      </c>
      <c r="O623" t="s">
        <v>61</v>
      </c>
      <c r="P623" t="s">
        <v>26</v>
      </c>
      <c r="Q623">
        <v>699</v>
      </c>
      <c r="R623">
        <v>415</v>
      </c>
    </row>
    <row r="624" spans="1:18">
      <c r="A624" t="s">
        <v>699</v>
      </c>
      <c r="B624" t="s">
        <v>54</v>
      </c>
      <c r="C624" t="s">
        <v>55</v>
      </c>
      <c r="D624" s="8">
        <v>2023</v>
      </c>
      <c r="E624" s="29">
        <v>3</v>
      </c>
      <c r="F624">
        <v>4</v>
      </c>
      <c r="G624">
        <v>64</v>
      </c>
      <c r="H624">
        <v>84</v>
      </c>
      <c r="I624">
        <v>12</v>
      </c>
      <c r="J624">
        <v>6.78</v>
      </c>
      <c r="K624" t="s">
        <v>56</v>
      </c>
      <c r="L624" t="s">
        <v>22</v>
      </c>
      <c r="M624" t="s">
        <v>32</v>
      </c>
      <c r="N624" t="s">
        <v>24</v>
      </c>
      <c r="O624" t="s">
        <v>48</v>
      </c>
      <c r="P624" t="s">
        <v>26</v>
      </c>
      <c r="Q624">
        <v>549</v>
      </c>
      <c r="R624">
        <v>400</v>
      </c>
    </row>
    <row r="625" spans="1:18">
      <c r="A625" t="s">
        <v>700</v>
      </c>
      <c r="B625" t="s">
        <v>89</v>
      </c>
      <c r="C625" t="s">
        <v>115</v>
      </c>
      <c r="D625" s="8">
        <v>2020</v>
      </c>
      <c r="E625" s="29">
        <v>6</v>
      </c>
      <c r="F625">
        <v>4</v>
      </c>
      <c r="G625">
        <v>256</v>
      </c>
      <c r="H625">
        <v>78</v>
      </c>
      <c r="I625">
        <v>12</v>
      </c>
      <c r="J625">
        <v>6.7</v>
      </c>
      <c r="K625" t="s">
        <v>116</v>
      </c>
      <c r="L625" t="s">
        <v>59</v>
      </c>
      <c r="M625" t="s">
        <v>47</v>
      </c>
      <c r="N625" t="s">
        <v>33</v>
      </c>
      <c r="O625" t="s">
        <v>87</v>
      </c>
      <c r="P625" t="s">
        <v>26</v>
      </c>
      <c r="Q625">
        <v>999</v>
      </c>
      <c r="R625">
        <v>820</v>
      </c>
    </row>
    <row r="626" spans="1:18">
      <c r="A626" t="s">
        <v>701</v>
      </c>
      <c r="B626" t="s">
        <v>77</v>
      </c>
      <c r="C626" t="s">
        <v>78</v>
      </c>
      <c r="D626" s="8">
        <v>2021</v>
      </c>
      <c r="E626" s="29">
        <v>5</v>
      </c>
      <c r="F626">
        <v>4</v>
      </c>
      <c r="G626">
        <v>512</v>
      </c>
      <c r="H626">
        <v>83</v>
      </c>
      <c r="I626">
        <v>48</v>
      </c>
      <c r="J626">
        <v>6.5</v>
      </c>
      <c r="K626" t="s">
        <v>79</v>
      </c>
      <c r="L626" t="s">
        <v>59</v>
      </c>
      <c r="M626" t="s">
        <v>47</v>
      </c>
      <c r="N626" t="s">
        <v>33</v>
      </c>
      <c r="O626" t="s">
        <v>34</v>
      </c>
      <c r="P626" t="s">
        <v>26</v>
      </c>
      <c r="Q626">
        <v>699</v>
      </c>
      <c r="R626">
        <v>668</v>
      </c>
    </row>
    <row r="627" spans="1:18">
      <c r="A627" t="s">
        <v>702</v>
      </c>
      <c r="B627" t="s">
        <v>44</v>
      </c>
      <c r="C627" t="s">
        <v>45</v>
      </c>
      <c r="D627" s="8">
        <v>2024</v>
      </c>
      <c r="E627" s="29">
        <v>2</v>
      </c>
      <c r="F627">
        <v>4</v>
      </c>
      <c r="G627">
        <v>128</v>
      </c>
      <c r="H627">
        <v>97</v>
      </c>
      <c r="I627">
        <v>108</v>
      </c>
      <c r="J627">
        <v>6.5</v>
      </c>
      <c r="K627" t="s">
        <v>46</v>
      </c>
      <c r="L627" t="s">
        <v>31</v>
      </c>
      <c r="M627" t="s">
        <v>86</v>
      </c>
      <c r="N627" t="s">
        <v>24</v>
      </c>
      <c r="O627" t="s">
        <v>84</v>
      </c>
      <c r="P627" t="s">
        <v>35</v>
      </c>
      <c r="Q627">
        <v>799</v>
      </c>
      <c r="R627">
        <v>760</v>
      </c>
    </row>
    <row r="628" spans="1:18">
      <c r="A628" t="s">
        <v>703</v>
      </c>
      <c r="B628" t="s">
        <v>54</v>
      </c>
      <c r="C628" t="s">
        <v>55</v>
      </c>
      <c r="D628" s="8">
        <v>2022</v>
      </c>
      <c r="E628" s="29">
        <v>4</v>
      </c>
      <c r="F628">
        <v>4</v>
      </c>
      <c r="G628">
        <v>128</v>
      </c>
      <c r="H628">
        <v>85</v>
      </c>
      <c r="I628">
        <v>50</v>
      </c>
      <c r="J628">
        <v>6.5</v>
      </c>
      <c r="K628" t="s">
        <v>56</v>
      </c>
      <c r="L628" t="s">
        <v>22</v>
      </c>
      <c r="M628" t="s">
        <v>60</v>
      </c>
      <c r="N628" t="s">
        <v>24</v>
      </c>
      <c r="O628" t="s">
        <v>41</v>
      </c>
      <c r="P628" t="s">
        <v>26</v>
      </c>
      <c r="Q628">
        <v>549</v>
      </c>
      <c r="R628">
        <v>397</v>
      </c>
    </row>
    <row r="629" spans="1:18">
      <c r="A629" t="s">
        <v>704</v>
      </c>
      <c r="B629" t="s">
        <v>89</v>
      </c>
      <c r="C629" t="s">
        <v>90</v>
      </c>
      <c r="D629" s="8">
        <v>2020</v>
      </c>
      <c r="E629" s="29">
        <v>6</v>
      </c>
      <c r="F629">
        <v>8</v>
      </c>
      <c r="G629">
        <v>256</v>
      </c>
      <c r="H629">
        <v>76</v>
      </c>
      <c r="I629">
        <v>12</v>
      </c>
      <c r="J629">
        <v>6.67</v>
      </c>
      <c r="K629" t="s">
        <v>91</v>
      </c>
      <c r="L629" t="s">
        <v>22</v>
      </c>
      <c r="M629" t="s">
        <v>40</v>
      </c>
      <c r="N629" t="s">
        <v>24</v>
      </c>
      <c r="O629" t="s">
        <v>84</v>
      </c>
      <c r="P629" t="s">
        <v>26</v>
      </c>
      <c r="Q629">
        <v>449</v>
      </c>
      <c r="R629">
        <v>371</v>
      </c>
    </row>
    <row r="630" spans="1:18">
      <c r="A630" t="s">
        <v>705</v>
      </c>
      <c r="B630" t="s">
        <v>89</v>
      </c>
      <c r="C630" t="s">
        <v>90</v>
      </c>
      <c r="D630" s="8">
        <v>2021</v>
      </c>
      <c r="E630" s="29">
        <v>5</v>
      </c>
      <c r="F630">
        <v>8</v>
      </c>
      <c r="G630">
        <v>64</v>
      </c>
      <c r="H630">
        <v>76</v>
      </c>
      <c r="I630">
        <v>108</v>
      </c>
      <c r="J630">
        <v>6.2</v>
      </c>
      <c r="K630" t="s">
        <v>91</v>
      </c>
      <c r="L630" t="s">
        <v>59</v>
      </c>
      <c r="M630" t="s">
        <v>47</v>
      </c>
      <c r="N630" t="s">
        <v>33</v>
      </c>
      <c r="O630" t="s">
        <v>84</v>
      </c>
      <c r="P630" t="s">
        <v>26</v>
      </c>
      <c r="Q630">
        <v>449</v>
      </c>
      <c r="R630">
        <v>405</v>
      </c>
    </row>
    <row r="631" spans="1:18">
      <c r="A631" t="s">
        <v>706</v>
      </c>
      <c r="B631" t="s">
        <v>54</v>
      </c>
      <c r="C631" t="s">
        <v>55</v>
      </c>
      <c r="D631" s="8">
        <v>2023</v>
      </c>
      <c r="E631" s="29">
        <v>3</v>
      </c>
      <c r="F631">
        <v>12</v>
      </c>
      <c r="G631">
        <v>64</v>
      </c>
      <c r="H631">
        <v>88</v>
      </c>
      <c r="I631">
        <v>50</v>
      </c>
      <c r="J631">
        <v>6.2</v>
      </c>
      <c r="K631" t="s">
        <v>56</v>
      </c>
      <c r="L631" t="s">
        <v>22</v>
      </c>
      <c r="M631" t="s">
        <v>40</v>
      </c>
      <c r="N631" t="s">
        <v>24</v>
      </c>
      <c r="O631" t="s">
        <v>52</v>
      </c>
      <c r="P631" t="s">
        <v>35</v>
      </c>
      <c r="Q631">
        <v>549</v>
      </c>
      <c r="R631">
        <v>417</v>
      </c>
    </row>
    <row r="632" spans="1:18">
      <c r="A632" t="s">
        <v>707</v>
      </c>
      <c r="B632" t="s">
        <v>89</v>
      </c>
      <c r="C632" t="s">
        <v>90</v>
      </c>
      <c r="D632" s="8">
        <v>2020</v>
      </c>
      <c r="E632" s="29">
        <v>6</v>
      </c>
      <c r="F632">
        <v>8</v>
      </c>
      <c r="G632">
        <v>512</v>
      </c>
      <c r="H632">
        <v>96</v>
      </c>
      <c r="I632">
        <v>12</v>
      </c>
      <c r="J632">
        <v>6.78</v>
      </c>
      <c r="K632" t="s">
        <v>91</v>
      </c>
      <c r="L632" t="s">
        <v>57</v>
      </c>
      <c r="M632" t="s">
        <v>86</v>
      </c>
      <c r="N632" t="s">
        <v>33</v>
      </c>
      <c r="O632" t="s">
        <v>48</v>
      </c>
      <c r="P632" t="s">
        <v>26</v>
      </c>
      <c r="Q632">
        <v>449</v>
      </c>
      <c r="R632">
        <v>366</v>
      </c>
    </row>
    <row r="633" spans="1:18">
      <c r="A633" t="s">
        <v>708</v>
      </c>
      <c r="B633" t="s">
        <v>77</v>
      </c>
      <c r="C633" t="s">
        <v>78</v>
      </c>
      <c r="D633" s="8">
        <v>2020</v>
      </c>
      <c r="E633" s="29">
        <v>6</v>
      </c>
      <c r="F633">
        <v>6</v>
      </c>
      <c r="G633">
        <v>256</v>
      </c>
      <c r="H633">
        <v>88</v>
      </c>
      <c r="I633">
        <v>108</v>
      </c>
      <c r="J633">
        <v>6.67</v>
      </c>
      <c r="K633" t="s">
        <v>79</v>
      </c>
      <c r="L633" t="s">
        <v>22</v>
      </c>
      <c r="M633" t="s">
        <v>32</v>
      </c>
      <c r="N633" t="s">
        <v>24</v>
      </c>
      <c r="O633" t="s">
        <v>48</v>
      </c>
      <c r="P633" t="s">
        <v>35</v>
      </c>
      <c r="Q633">
        <v>699</v>
      </c>
      <c r="R633">
        <v>529</v>
      </c>
    </row>
    <row r="634" spans="1:18">
      <c r="A634" t="s">
        <v>709</v>
      </c>
      <c r="B634" t="s">
        <v>44</v>
      </c>
      <c r="C634" t="s">
        <v>45</v>
      </c>
      <c r="D634" s="8">
        <v>2023</v>
      </c>
      <c r="E634" s="29">
        <v>3</v>
      </c>
      <c r="F634">
        <v>4</v>
      </c>
      <c r="G634">
        <v>64</v>
      </c>
      <c r="H634">
        <v>84</v>
      </c>
      <c r="I634">
        <v>50</v>
      </c>
      <c r="J634">
        <v>6.7</v>
      </c>
      <c r="K634" t="s">
        <v>46</v>
      </c>
      <c r="L634" t="s">
        <v>22</v>
      </c>
      <c r="M634" t="s">
        <v>40</v>
      </c>
      <c r="N634" t="s">
        <v>33</v>
      </c>
      <c r="O634" t="s">
        <v>61</v>
      </c>
      <c r="P634" t="s">
        <v>35</v>
      </c>
      <c r="Q634">
        <v>799</v>
      </c>
      <c r="R634">
        <v>497</v>
      </c>
    </row>
    <row r="635" spans="1:18">
      <c r="A635" t="s">
        <v>710</v>
      </c>
      <c r="B635" t="s">
        <v>28</v>
      </c>
      <c r="C635" t="s">
        <v>29</v>
      </c>
      <c r="D635" s="8">
        <v>2022</v>
      </c>
      <c r="E635" s="29">
        <v>4</v>
      </c>
      <c r="F635">
        <v>4</v>
      </c>
      <c r="G635">
        <v>128</v>
      </c>
      <c r="H635">
        <v>75</v>
      </c>
      <c r="I635">
        <v>108</v>
      </c>
      <c r="J635">
        <v>6.2</v>
      </c>
      <c r="K635" t="s">
        <v>30</v>
      </c>
      <c r="L635" t="s">
        <v>59</v>
      </c>
      <c r="M635" t="s">
        <v>60</v>
      </c>
      <c r="N635" t="s">
        <v>24</v>
      </c>
      <c r="O635" t="s">
        <v>87</v>
      </c>
      <c r="P635" t="s">
        <v>35</v>
      </c>
      <c r="Q635">
        <v>599</v>
      </c>
      <c r="R635">
        <v>475</v>
      </c>
    </row>
    <row r="636" spans="1:18">
      <c r="A636" t="s">
        <v>711</v>
      </c>
      <c r="B636" t="s">
        <v>89</v>
      </c>
      <c r="C636" t="s">
        <v>115</v>
      </c>
      <c r="D636" s="8">
        <v>2023</v>
      </c>
      <c r="E636" s="29">
        <v>3</v>
      </c>
      <c r="F636">
        <v>4</v>
      </c>
      <c r="G636">
        <v>128</v>
      </c>
      <c r="H636">
        <v>91</v>
      </c>
      <c r="I636">
        <v>64</v>
      </c>
      <c r="J636">
        <v>6.7</v>
      </c>
      <c r="K636" t="s">
        <v>116</v>
      </c>
      <c r="L636" t="s">
        <v>22</v>
      </c>
      <c r="M636" t="s">
        <v>47</v>
      </c>
      <c r="N636" t="s">
        <v>24</v>
      </c>
      <c r="O636" t="s">
        <v>25</v>
      </c>
      <c r="P636" t="s">
        <v>35</v>
      </c>
      <c r="Q636">
        <v>999</v>
      </c>
      <c r="R636">
        <v>650</v>
      </c>
    </row>
    <row r="637" spans="1:18">
      <c r="A637" t="s">
        <v>712</v>
      </c>
      <c r="B637" t="s">
        <v>44</v>
      </c>
      <c r="C637" t="s">
        <v>45</v>
      </c>
      <c r="D637" s="8">
        <v>2024</v>
      </c>
      <c r="E637" s="29">
        <v>2</v>
      </c>
      <c r="F637">
        <v>8</v>
      </c>
      <c r="G637">
        <v>64</v>
      </c>
      <c r="H637">
        <v>97</v>
      </c>
      <c r="I637">
        <v>64</v>
      </c>
      <c r="J637">
        <v>6.5</v>
      </c>
      <c r="K637" t="s">
        <v>46</v>
      </c>
      <c r="L637" t="s">
        <v>22</v>
      </c>
      <c r="M637" t="s">
        <v>32</v>
      </c>
      <c r="N637" t="s">
        <v>24</v>
      </c>
      <c r="O637" t="s">
        <v>41</v>
      </c>
      <c r="P637" t="s">
        <v>26</v>
      </c>
      <c r="Q637">
        <v>799</v>
      </c>
      <c r="R637">
        <v>567</v>
      </c>
    </row>
    <row r="638" spans="1:18">
      <c r="A638" t="s">
        <v>713</v>
      </c>
      <c r="B638" t="s">
        <v>68</v>
      </c>
      <c r="C638" t="s">
        <v>69</v>
      </c>
      <c r="D638" s="8">
        <v>2021</v>
      </c>
      <c r="E638" s="29">
        <v>5</v>
      </c>
      <c r="F638">
        <v>6</v>
      </c>
      <c r="G638">
        <v>256</v>
      </c>
      <c r="H638">
        <v>76</v>
      </c>
      <c r="I638">
        <v>12</v>
      </c>
      <c r="J638">
        <v>6.4</v>
      </c>
      <c r="K638" t="s">
        <v>70</v>
      </c>
      <c r="L638" t="s">
        <v>59</v>
      </c>
      <c r="M638" t="s">
        <v>47</v>
      </c>
      <c r="N638" t="s">
        <v>24</v>
      </c>
      <c r="O638" t="s">
        <v>48</v>
      </c>
      <c r="P638" t="s">
        <v>26</v>
      </c>
      <c r="Q638">
        <v>399</v>
      </c>
      <c r="R638">
        <v>386</v>
      </c>
    </row>
    <row r="639" spans="1:18">
      <c r="A639" t="s">
        <v>714</v>
      </c>
      <c r="B639" t="s">
        <v>77</v>
      </c>
      <c r="C639" t="s">
        <v>78</v>
      </c>
      <c r="D639" s="8">
        <v>2024</v>
      </c>
      <c r="E639" s="29">
        <v>2</v>
      </c>
      <c r="F639">
        <v>4</v>
      </c>
      <c r="G639">
        <v>256</v>
      </c>
      <c r="H639">
        <v>76</v>
      </c>
      <c r="I639">
        <v>64</v>
      </c>
      <c r="J639">
        <v>6.4</v>
      </c>
      <c r="K639" t="s">
        <v>79</v>
      </c>
      <c r="L639" t="s">
        <v>31</v>
      </c>
      <c r="M639" t="s">
        <v>60</v>
      </c>
      <c r="N639" t="s">
        <v>24</v>
      </c>
      <c r="O639" t="s">
        <v>84</v>
      </c>
      <c r="P639" t="s">
        <v>35</v>
      </c>
      <c r="Q639">
        <v>699</v>
      </c>
      <c r="R639">
        <v>687</v>
      </c>
    </row>
    <row r="640" spans="1:18">
      <c r="A640" t="s">
        <v>715</v>
      </c>
      <c r="B640" t="s">
        <v>68</v>
      </c>
      <c r="C640" t="s">
        <v>69</v>
      </c>
      <c r="D640" s="8">
        <v>2020</v>
      </c>
      <c r="E640" s="29">
        <v>6</v>
      </c>
      <c r="F640">
        <v>4</v>
      </c>
      <c r="G640">
        <v>64</v>
      </c>
      <c r="H640">
        <v>90</v>
      </c>
      <c r="I640">
        <v>108</v>
      </c>
      <c r="J640">
        <v>6.67</v>
      </c>
      <c r="K640" t="s">
        <v>70</v>
      </c>
      <c r="L640" t="s">
        <v>59</v>
      </c>
      <c r="M640" t="s">
        <v>32</v>
      </c>
      <c r="N640" t="s">
        <v>24</v>
      </c>
      <c r="O640" t="s">
        <v>87</v>
      </c>
      <c r="P640" t="s">
        <v>35</v>
      </c>
      <c r="Q640">
        <v>399</v>
      </c>
      <c r="R640">
        <v>371</v>
      </c>
    </row>
    <row r="641" spans="1:18">
      <c r="A641" t="s">
        <v>716</v>
      </c>
      <c r="B641" t="s">
        <v>37</v>
      </c>
      <c r="C641" t="s">
        <v>38</v>
      </c>
      <c r="D641" s="8">
        <v>2023</v>
      </c>
      <c r="E641" s="29">
        <v>3</v>
      </c>
      <c r="F641">
        <v>12</v>
      </c>
      <c r="G641">
        <v>256</v>
      </c>
      <c r="H641">
        <v>95</v>
      </c>
      <c r="I641">
        <v>12</v>
      </c>
      <c r="J641">
        <v>6.4</v>
      </c>
      <c r="K641" t="s">
        <v>39</v>
      </c>
      <c r="L641" t="s">
        <v>31</v>
      </c>
      <c r="M641" t="s">
        <v>47</v>
      </c>
      <c r="N641" t="s">
        <v>24</v>
      </c>
      <c r="O641" t="s">
        <v>34</v>
      </c>
      <c r="P641" t="s">
        <v>26</v>
      </c>
      <c r="Q641">
        <v>599</v>
      </c>
      <c r="R641">
        <v>589</v>
      </c>
    </row>
    <row r="642" spans="1:18">
      <c r="A642" t="s">
        <v>717</v>
      </c>
      <c r="B642" t="s">
        <v>19</v>
      </c>
      <c r="C642" t="s">
        <v>20</v>
      </c>
      <c r="D642" s="8">
        <v>2024</v>
      </c>
      <c r="E642" s="29">
        <v>2</v>
      </c>
      <c r="F642">
        <v>12</v>
      </c>
      <c r="G642">
        <v>128</v>
      </c>
      <c r="H642">
        <v>90</v>
      </c>
      <c r="I642">
        <v>48</v>
      </c>
      <c r="J642">
        <v>6.7</v>
      </c>
      <c r="K642" t="s">
        <v>21</v>
      </c>
      <c r="L642" t="s">
        <v>31</v>
      </c>
      <c r="M642" t="s">
        <v>47</v>
      </c>
      <c r="N642" t="s">
        <v>33</v>
      </c>
      <c r="O642" t="s">
        <v>87</v>
      </c>
      <c r="P642" t="s">
        <v>35</v>
      </c>
      <c r="Q642">
        <v>599</v>
      </c>
      <c r="R642">
        <v>584</v>
      </c>
    </row>
    <row r="643" spans="1:18">
      <c r="A643" t="s">
        <v>718</v>
      </c>
      <c r="B643" t="s">
        <v>37</v>
      </c>
      <c r="C643" t="s">
        <v>38</v>
      </c>
      <c r="D643" s="8">
        <v>2022</v>
      </c>
      <c r="E643" s="29">
        <v>4</v>
      </c>
      <c r="F643">
        <v>12</v>
      </c>
      <c r="G643">
        <v>128</v>
      </c>
      <c r="H643">
        <v>100</v>
      </c>
      <c r="I643">
        <v>64</v>
      </c>
      <c r="J643">
        <v>6.67</v>
      </c>
      <c r="K643" t="s">
        <v>39</v>
      </c>
      <c r="L643" t="s">
        <v>59</v>
      </c>
      <c r="M643" t="s">
        <v>47</v>
      </c>
      <c r="N643" t="s">
        <v>24</v>
      </c>
      <c r="O643" t="s">
        <v>25</v>
      </c>
      <c r="P643" t="s">
        <v>26</v>
      </c>
      <c r="Q643">
        <v>599</v>
      </c>
      <c r="R643">
        <v>518</v>
      </c>
    </row>
    <row r="644" spans="1:18">
      <c r="A644" t="s">
        <v>719</v>
      </c>
      <c r="B644" t="s">
        <v>89</v>
      </c>
      <c r="C644" t="s">
        <v>90</v>
      </c>
      <c r="D644" s="8">
        <v>2022</v>
      </c>
      <c r="E644" s="29">
        <v>4</v>
      </c>
      <c r="F644">
        <v>8</v>
      </c>
      <c r="G644">
        <v>256</v>
      </c>
      <c r="H644">
        <v>82</v>
      </c>
      <c r="I644">
        <v>64</v>
      </c>
      <c r="J644">
        <v>6.1</v>
      </c>
      <c r="K644" t="s">
        <v>91</v>
      </c>
      <c r="L644" t="s">
        <v>59</v>
      </c>
      <c r="M644" t="s">
        <v>86</v>
      </c>
      <c r="N644" t="s">
        <v>33</v>
      </c>
      <c r="O644" t="s">
        <v>87</v>
      </c>
      <c r="P644" t="s">
        <v>26</v>
      </c>
      <c r="Q644">
        <v>449</v>
      </c>
      <c r="R644">
        <v>439</v>
      </c>
    </row>
    <row r="645" spans="1:18">
      <c r="A645" t="s">
        <v>720</v>
      </c>
      <c r="B645" t="s">
        <v>64</v>
      </c>
      <c r="C645" t="s">
        <v>65</v>
      </c>
      <c r="D645" s="8">
        <v>2021</v>
      </c>
      <c r="E645" s="29">
        <v>5</v>
      </c>
      <c r="F645">
        <v>8</v>
      </c>
      <c r="G645">
        <v>512</v>
      </c>
      <c r="H645">
        <v>99</v>
      </c>
      <c r="I645">
        <v>64</v>
      </c>
      <c r="J645">
        <v>6.2</v>
      </c>
      <c r="K645" t="s">
        <v>66</v>
      </c>
      <c r="L645" t="s">
        <v>22</v>
      </c>
      <c r="M645" t="s">
        <v>40</v>
      </c>
      <c r="N645" t="s">
        <v>24</v>
      </c>
      <c r="O645" t="s">
        <v>87</v>
      </c>
      <c r="P645" t="s">
        <v>26</v>
      </c>
      <c r="Q645">
        <v>499</v>
      </c>
      <c r="R645">
        <v>434</v>
      </c>
    </row>
    <row r="646" spans="1:18">
      <c r="A646" t="s">
        <v>721</v>
      </c>
      <c r="B646" t="s">
        <v>19</v>
      </c>
      <c r="C646" t="s">
        <v>20</v>
      </c>
      <c r="D646" s="8">
        <v>2021</v>
      </c>
      <c r="E646" s="29">
        <v>5</v>
      </c>
      <c r="F646">
        <v>8</v>
      </c>
      <c r="G646">
        <v>512</v>
      </c>
      <c r="H646">
        <v>88</v>
      </c>
      <c r="I646">
        <v>64</v>
      </c>
      <c r="J646">
        <v>6.2</v>
      </c>
      <c r="K646" t="s">
        <v>21</v>
      </c>
      <c r="L646" t="s">
        <v>57</v>
      </c>
      <c r="M646" t="s">
        <v>40</v>
      </c>
      <c r="N646" t="s">
        <v>33</v>
      </c>
      <c r="O646" t="s">
        <v>84</v>
      </c>
      <c r="P646" t="s">
        <v>26</v>
      </c>
      <c r="Q646">
        <v>599</v>
      </c>
      <c r="R646">
        <v>422</v>
      </c>
    </row>
    <row r="647" spans="1:18">
      <c r="A647" t="s">
        <v>722</v>
      </c>
      <c r="B647" t="s">
        <v>77</v>
      </c>
      <c r="C647" t="s">
        <v>78</v>
      </c>
      <c r="D647" s="8">
        <v>2024</v>
      </c>
      <c r="E647" s="29">
        <v>2</v>
      </c>
      <c r="F647">
        <v>4</v>
      </c>
      <c r="G647">
        <v>128</v>
      </c>
      <c r="H647">
        <v>82</v>
      </c>
      <c r="I647">
        <v>48</v>
      </c>
      <c r="J647">
        <v>6.67</v>
      </c>
      <c r="K647" t="s">
        <v>79</v>
      </c>
      <c r="L647" t="s">
        <v>31</v>
      </c>
      <c r="M647" t="s">
        <v>32</v>
      </c>
      <c r="N647" t="s">
        <v>24</v>
      </c>
      <c r="O647" t="s">
        <v>41</v>
      </c>
      <c r="P647" t="s">
        <v>35</v>
      </c>
      <c r="Q647">
        <v>699</v>
      </c>
      <c r="R647">
        <v>621</v>
      </c>
    </row>
    <row r="648" spans="1:18">
      <c r="A648" t="s">
        <v>723</v>
      </c>
      <c r="B648" t="s">
        <v>28</v>
      </c>
      <c r="C648" t="s">
        <v>29</v>
      </c>
      <c r="D648" s="8">
        <v>2021</v>
      </c>
      <c r="E648" s="29">
        <v>5</v>
      </c>
      <c r="F648">
        <v>12</v>
      </c>
      <c r="G648">
        <v>256</v>
      </c>
      <c r="H648">
        <v>96</v>
      </c>
      <c r="I648">
        <v>108</v>
      </c>
      <c r="J648">
        <v>6.2</v>
      </c>
      <c r="K648" t="s">
        <v>30</v>
      </c>
      <c r="L648" t="s">
        <v>22</v>
      </c>
      <c r="M648" t="s">
        <v>86</v>
      </c>
      <c r="N648" t="s">
        <v>24</v>
      </c>
      <c r="O648" t="s">
        <v>84</v>
      </c>
      <c r="P648" t="s">
        <v>26</v>
      </c>
      <c r="Q648">
        <v>599</v>
      </c>
      <c r="R648">
        <v>499</v>
      </c>
    </row>
    <row r="649" spans="1:18">
      <c r="A649" t="s">
        <v>724</v>
      </c>
      <c r="B649" t="s">
        <v>68</v>
      </c>
      <c r="C649" t="s">
        <v>69</v>
      </c>
      <c r="D649" s="8">
        <v>2022</v>
      </c>
      <c r="E649" s="29">
        <v>4</v>
      </c>
      <c r="F649">
        <v>8</v>
      </c>
      <c r="G649">
        <v>512</v>
      </c>
      <c r="H649">
        <v>98</v>
      </c>
      <c r="I649">
        <v>64</v>
      </c>
      <c r="J649">
        <v>6.78</v>
      </c>
      <c r="K649" t="s">
        <v>70</v>
      </c>
      <c r="L649" t="s">
        <v>22</v>
      </c>
      <c r="M649" t="s">
        <v>60</v>
      </c>
      <c r="N649" t="s">
        <v>33</v>
      </c>
      <c r="O649" t="s">
        <v>52</v>
      </c>
      <c r="P649" t="s">
        <v>35</v>
      </c>
      <c r="Q649">
        <v>399</v>
      </c>
      <c r="R649">
        <v>389</v>
      </c>
    </row>
    <row r="650" spans="1:18">
      <c r="A650" t="s">
        <v>725</v>
      </c>
      <c r="B650" t="s">
        <v>64</v>
      </c>
      <c r="C650" t="s">
        <v>65</v>
      </c>
      <c r="D650" s="8">
        <v>2022</v>
      </c>
      <c r="E650" s="29">
        <v>4</v>
      </c>
      <c r="F650">
        <v>8</v>
      </c>
      <c r="G650">
        <v>256</v>
      </c>
      <c r="H650">
        <v>95</v>
      </c>
      <c r="I650">
        <v>12</v>
      </c>
      <c r="J650">
        <v>6.2</v>
      </c>
      <c r="K650" t="s">
        <v>66</v>
      </c>
      <c r="L650" t="s">
        <v>31</v>
      </c>
      <c r="M650" t="s">
        <v>40</v>
      </c>
      <c r="N650" t="s">
        <v>24</v>
      </c>
      <c r="O650" t="s">
        <v>61</v>
      </c>
      <c r="P650" t="s">
        <v>26</v>
      </c>
      <c r="Q650">
        <v>499</v>
      </c>
      <c r="R650">
        <v>489</v>
      </c>
    </row>
    <row r="651" spans="1:18">
      <c r="A651" t="s">
        <v>726</v>
      </c>
      <c r="B651" t="s">
        <v>54</v>
      </c>
      <c r="C651" t="s">
        <v>55</v>
      </c>
      <c r="D651" s="8">
        <v>2021</v>
      </c>
      <c r="E651" s="29">
        <v>5</v>
      </c>
      <c r="F651">
        <v>6</v>
      </c>
      <c r="G651">
        <v>256</v>
      </c>
      <c r="H651">
        <v>77</v>
      </c>
      <c r="I651">
        <v>108</v>
      </c>
      <c r="J651">
        <v>6.2</v>
      </c>
      <c r="K651" t="s">
        <v>56</v>
      </c>
      <c r="L651" t="s">
        <v>22</v>
      </c>
      <c r="M651" t="s">
        <v>47</v>
      </c>
      <c r="N651" t="s">
        <v>24</v>
      </c>
      <c r="O651" t="s">
        <v>61</v>
      </c>
      <c r="P651" t="s">
        <v>35</v>
      </c>
      <c r="Q651">
        <v>549</v>
      </c>
      <c r="R651">
        <v>427</v>
      </c>
    </row>
    <row r="652" spans="1:18">
      <c r="A652" t="s">
        <v>727</v>
      </c>
      <c r="B652" t="s">
        <v>44</v>
      </c>
      <c r="C652" t="s">
        <v>45</v>
      </c>
      <c r="D652" s="8">
        <v>2023</v>
      </c>
      <c r="E652" s="29">
        <v>3</v>
      </c>
      <c r="F652">
        <v>6</v>
      </c>
      <c r="G652">
        <v>256</v>
      </c>
      <c r="H652">
        <v>93</v>
      </c>
      <c r="I652">
        <v>64</v>
      </c>
      <c r="J652">
        <v>6.67</v>
      </c>
      <c r="K652" t="s">
        <v>46</v>
      </c>
      <c r="L652" t="s">
        <v>22</v>
      </c>
      <c r="M652" t="s">
        <v>40</v>
      </c>
      <c r="N652" t="s">
        <v>33</v>
      </c>
      <c r="O652" t="s">
        <v>52</v>
      </c>
      <c r="P652" t="s">
        <v>26</v>
      </c>
      <c r="Q652">
        <v>799</v>
      </c>
      <c r="R652">
        <v>576</v>
      </c>
    </row>
    <row r="653" spans="1:18">
      <c r="A653" t="s">
        <v>728</v>
      </c>
      <c r="B653" t="s">
        <v>54</v>
      </c>
      <c r="C653" t="s">
        <v>55</v>
      </c>
      <c r="D653" s="8">
        <v>2020</v>
      </c>
      <c r="E653" s="29">
        <v>6</v>
      </c>
      <c r="F653">
        <v>6</v>
      </c>
      <c r="G653">
        <v>128</v>
      </c>
      <c r="H653">
        <v>91</v>
      </c>
      <c r="I653">
        <v>108</v>
      </c>
      <c r="J653">
        <v>6.7</v>
      </c>
      <c r="K653" t="s">
        <v>56</v>
      </c>
      <c r="L653" t="s">
        <v>59</v>
      </c>
      <c r="M653" t="s">
        <v>23</v>
      </c>
      <c r="N653" t="s">
        <v>33</v>
      </c>
      <c r="O653" t="s">
        <v>84</v>
      </c>
      <c r="P653" t="s">
        <v>26</v>
      </c>
      <c r="Q653">
        <v>549</v>
      </c>
      <c r="R653">
        <v>473</v>
      </c>
    </row>
    <row r="654" spans="1:18">
      <c r="A654" t="s">
        <v>729</v>
      </c>
      <c r="B654" t="s">
        <v>73</v>
      </c>
      <c r="C654" t="s">
        <v>122</v>
      </c>
      <c r="D654" s="8">
        <v>2020</v>
      </c>
      <c r="E654" s="29">
        <v>6</v>
      </c>
      <c r="F654">
        <v>6</v>
      </c>
      <c r="G654">
        <v>256</v>
      </c>
      <c r="H654">
        <v>92</v>
      </c>
      <c r="I654">
        <v>48</v>
      </c>
      <c r="J654">
        <v>6.78</v>
      </c>
      <c r="K654" t="s">
        <v>123</v>
      </c>
      <c r="L654" t="s">
        <v>22</v>
      </c>
      <c r="M654" t="s">
        <v>60</v>
      </c>
      <c r="N654" t="s">
        <v>33</v>
      </c>
      <c r="O654" t="s">
        <v>87</v>
      </c>
      <c r="P654" t="s">
        <v>26</v>
      </c>
      <c r="Q654">
        <v>699</v>
      </c>
      <c r="R654">
        <v>526</v>
      </c>
    </row>
    <row r="655" spans="1:18">
      <c r="A655" t="s">
        <v>730</v>
      </c>
      <c r="B655" t="s">
        <v>19</v>
      </c>
      <c r="C655" t="s">
        <v>20</v>
      </c>
      <c r="D655" s="8">
        <v>2022</v>
      </c>
      <c r="E655" s="29">
        <v>4</v>
      </c>
      <c r="F655">
        <v>8</v>
      </c>
      <c r="G655">
        <v>64</v>
      </c>
      <c r="H655">
        <v>100</v>
      </c>
      <c r="I655">
        <v>50</v>
      </c>
      <c r="J655">
        <v>6.4</v>
      </c>
      <c r="K655" t="s">
        <v>21</v>
      </c>
      <c r="L655" t="s">
        <v>57</v>
      </c>
      <c r="M655" t="s">
        <v>40</v>
      </c>
      <c r="N655" t="s">
        <v>24</v>
      </c>
      <c r="O655" t="s">
        <v>34</v>
      </c>
      <c r="P655" t="s">
        <v>35</v>
      </c>
      <c r="Q655">
        <v>599</v>
      </c>
      <c r="R655">
        <v>359</v>
      </c>
    </row>
    <row r="656" spans="1:18">
      <c r="A656" t="s">
        <v>731</v>
      </c>
      <c r="B656" t="s">
        <v>37</v>
      </c>
      <c r="C656" t="s">
        <v>38</v>
      </c>
      <c r="D656" s="8">
        <v>2020</v>
      </c>
      <c r="E656" s="29">
        <v>6</v>
      </c>
      <c r="F656">
        <v>12</v>
      </c>
      <c r="G656">
        <v>512</v>
      </c>
      <c r="H656">
        <v>81</v>
      </c>
      <c r="I656">
        <v>64</v>
      </c>
      <c r="J656">
        <v>6.1</v>
      </c>
      <c r="K656" t="s">
        <v>39</v>
      </c>
      <c r="L656" t="s">
        <v>59</v>
      </c>
      <c r="M656" t="s">
        <v>47</v>
      </c>
      <c r="N656" t="s">
        <v>33</v>
      </c>
      <c r="O656" t="s">
        <v>41</v>
      </c>
      <c r="P656" t="s">
        <v>35</v>
      </c>
      <c r="Q656">
        <v>599</v>
      </c>
      <c r="R656">
        <v>589</v>
      </c>
    </row>
    <row r="657" spans="1:18">
      <c r="A657" t="s">
        <v>732</v>
      </c>
      <c r="B657" t="s">
        <v>89</v>
      </c>
      <c r="C657" t="s">
        <v>90</v>
      </c>
      <c r="D657" s="8">
        <v>2022</v>
      </c>
      <c r="E657" s="29">
        <v>4</v>
      </c>
      <c r="F657">
        <v>12</v>
      </c>
      <c r="G657">
        <v>256</v>
      </c>
      <c r="H657">
        <v>79</v>
      </c>
      <c r="I657">
        <v>64</v>
      </c>
      <c r="J657">
        <v>6.1</v>
      </c>
      <c r="K657" t="s">
        <v>91</v>
      </c>
      <c r="L657" t="s">
        <v>31</v>
      </c>
      <c r="M657" t="s">
        <v>40</v>
      </c>
      <c r="N657" t="s">
        <v>24</v>
      </c>
      <c r="O657" t="s">
        <v>84</v>
      </c>
      <c r="P657" t="s">
        <v>35</v>
      </c>
      <c r="Q657">
        <v>449</v>
      </c>
      <c r="R657">
        <v>439</v>
      </c>
    </row>
    <row r="658" spans="1:18">
      <c r="A658" t="s">
        <v>733</v>
      </c>
      <c r="B658" t="s">
        <v>89</v>
      </c>
      <c r="C658" t="s">
        <v>90</v>
      </c>
      <c r="D658" s="8">
        <v>2024</v>
      </c>
      <c r="E658" s="29">
        <v>2</v>
      </c>
      <c r="F658">
        <v>4</v>
      </c>
      <c r="G658">
        <v>512</v>
      </c>
      <c r="H658">
        <v>89</v>
      </c>
      <c r="I658">
        <v>50</v>
      </c>
      <c r="J658">
        <v>6.78</v>
      </c>
      <c r="K658" t="s">
        <v>91</v>
      </c>
      <c r="L658" t="s">
        <v>22</v>
      </c>
      <c r="M658" t="s">
        <v>47</v>
      </c>
      <c r="N658" t="s">
        <v>24</v>
      </c>
      <c r="O658" t="s">
        <v>61</v>
      </c>
      <c r="P658" t="s">
        <v>26</v>
      </c>
      <c r="Q658">
        <v>449</v>
      </c>
      <c r="R658">
        <v>426</v>
      </c>
    </row>
    <row r="659" spans="1:18">
      <c r="A659" t="s">
        <v>734</v>
      </c>
      <c r="B659" t="s">
        <v>28</v>
      </c>
      <c r="C659" t="s">
        <v>29</v>
      </c>
      <c r="D659" s="8">
        <v>2022</v>
      </c>
      <c r="E659" s="29">
        <v>4</v>
      </c>
      <c r="F659">
        <v>6</v>
      </c>
      <c r="G659">
        <v>256</v>
      </c>
      <c r="H659">
        <v>89</v>
      </c>
      <c r="I659">
        <v>108</v>
      </c>
      <c r="J659">
        <v>6.1</v>
      </c>
      <c r="K659" t="s">
        <v>30</v>
      </c>
      <c r="L659" t="s">
        <v>22</v>
      </c>
      <c r="M659" t="s">
        <v>47</v>
      </c>
      <c r="N659" t="s">
        <v>24</v>
      </c>
      <c r="O659" t="s">
        <v>61</v>
      </c>
      <c r="P659" t="s">
        <v>35</v>
      </c>
      <c r="Q659">
        <v>599</v>
      </c>
      <c r="R659">
        <v>464</v>
      </c>
    </row>
    <row r="660" spans="1:18">
      <c r="A660" t="s">
        <v>735</v>
      </c>
      <c r="B660" t="s">
        <v>73</v>
      </c>
      <c r="C660" t="s">
        <v>105</v>
      </c>
      <c r="D660" s="8">
        <v>2022</v>
      </c>
      <c r="E660" s="29">
        <v>4</v>
      </c>
      <c r="F660">
        <v>4</v>
      </c>
      <c r="G660">
        <v>256</v>
      </c>
      <c r="H660">
        <v>86</v>
      </c>
      <c r="I660">
        <v>64</v>
      </c>
      <c r="J660">
        <v>6.4</v>
      </c>
      <c r="K660" t="s">
        <v>75</v>
      </c>
      <c r="L660" t="s">
        <v>22</v>
      </c>
      <c r="M660" t="s">
        <v>40</v>
      </c>
      <c r="N660" t="s">
        <v>24</v>
      </c>
      <c r="O660" t="s">
        <v>52</v>
      </c>
      <c r="P660" t="s">
        <v>35</v>
      </c>
      <c r="Q660">
        <v>899</v>
      </c>
      <c r="R660">
        <v>605</v>
      </c>
    </row>
    <row r="661" spans="1:18">
      <c r="A661" t="s">
        <v>736</v>
      </c>
      <c r="B661" t="s">
        <v>77</v>
      </c>
      <c r="C661" t="s">
        <v>78</v>
      </c>
      <c r="D661" s="8">
        <v>2020</v>
      </c>
      <c r="E661" s="29">
        <v>6</v>
      </c>
      <c r="F661">
        <v>12</v>
      </c>
      <c r="G661">
        <v>512</v>
      </c>
      <c r="H661">
        <v>85</v>
      </c>
      <c r="I661">
        <v>48</v>
      </c>
      <c r="J661">
        <v>6.67</v>
      </c>
      <c r="K661" t="s">
        <v>79</v>
      </c>
      <c r="L661" t="s">
        <v>59</v>
      </c>
      <c r="M661" t="s">
        <v>47</v>
      </c>
      <c r="N661" t="s">
        <v>33</v>
      </c>
      <c r="O661" t="s">
        <v>84</v>
      </c>
      <c r="P661" t="s">
        <v>26</v>
      </c>
      <c r="Q661">
        <v>699</v>
      </c>
      <c r="R661">
        <v>657</v>
      </c>
    </row>
    <row r="662" spans="1:18">
      <c r="A662" t="s">
        <v>737</v>
      </c>
      <c r="B662" t="s">
        <v>28</v>
      </c>
      <c r="C662" t="s">
        <v>29</v>
      </c>
      <c r="D662" s="8">
        <v>2020</v>
      </c>
      <c r="E662" s="29">
        <v>6</v>
      </c>
      <c r="F662">
        <v>6</v>
      </c>
      <c r="G662">
        <v>64</v>
      </c>
      <c r="H662">
        <v>84</v>
      </c>
      <c r="I662">
        <v>12</v>
      </c>
      <c r="J662">
        <v>6.67</v>
      </c>
      <c r="K662" t="s">
        <v>30</v>
      </c>
      <c r="L662" t="s">
        <v>59</v>
      </c>
      <c r="M662" t="s">
        <v>23</v>
      </c>
      <c r="N662" t="s">
        <v>33</v>
      </c>
      <c r="O662" t="s">
        <v>61</v>
      </c>
      <c r="P662" t="s">
        <v>35</v>
      </c>
      <c r="Q662">
        <v>599</v>
      </c>
      <c r="R662">
        <v>491</v>
      </c>
    </row>
    <row r="663" spans="1:18">
      <c r="A663" t="s">
        <v>738</v>
      </c>
      <c r="B663" t="s">
        <v>73</v>
      </c>
      <c r="C663" t="s">
        <v>122</v>
      </c>
      <c r="D663" s="8">
        <v>2022</v>
      </c>
      <c r="E663" s="29">
        <v>4</v>
      </c>
      <c r="F663">
        <v>4</v>
      </c>
      <c r="G663">
        <v>256</v>
      </c>
      <c r="H663">
        <v>75</v>
      </c>
      <c r="I663">
        <v>12</v>
      </c>
      <c r="J663">
        <v>6.1</v>
      </c>
      <c r="K663" t="s">
        <v>123</v>
      </c>
      <c r="L663" t="s">
        <v>31</v>
      </c>
      <c r="M663" t="s">
        <v>86</v>
      </c>
      <c r="N663" t="s">
        <v>24</v>
      </c>
      <c r="O663" t="s">
        <v>87</v>
      </c>
      <c r="P663" t="s">
        <v>26</v>
      </c>
      <c r="Q663">
        <v>699</v>
      </c>
      <c r="R663">
        <v>688</v>
      </c>
    </row>
    <row r="664" spans="1:18">
      <c r="A664" t="s">
        <v>739</v>
      </c>
      <c r="B664" t="s">
        <v>54</v>
      </c>
      <c r="C664" t="s">
        <v>55</v>
      </c>
      <c r="D664" s="8">
        <v>2024</v>
      </c>
      <c r="E664" s="29">
        <v>2</v>
      </c>
      <c r="F664">
        <v>8</v>
      </c>
      <c r="G664">
        <v>512</v>
      </c>
      <c r="H664">
        <v>87</v>
      </c>
      <c r="I664">
        <v>64</v>
      </c>
      <c r="J664">
        <v>6.5</v>
      </c>
      <c r="K664" t="s">
        <v>56</v>
      </c>
      <c r="L664" t="s">
        <v>22</v>
      </c>
      <c r="M664" t="s">
        <v>86</v>
      </c>
      <c r="N664" t="s">
        <v>24</v>
      </c>
      <c r="O664" t="s">
        <v>52</v>
      </c>
      <c r="P664" t="s">
        <v>26</v>
      </c>
      <c r="Q664">
        <v>549</v>
      </c>
      <c r="R664">
        <v>497</v>
      </c>
    </row>
    <row r="665" spans="1:18">
      <c r="A665" t="s">
        <v>740</v>
      </c>
      <c r="B665" t="s">
        <v>37</v>
      </c>
      <c r="C665" t="s">
        <v>38</v>
      </c>
      <c r="D665" s="8">
        <v>2022</v>
      </c>
      <c r="E665" s="29">
        <v>4</v>
      </c>
      <c r="F665">
        <v>6</v>
      </c>
      <c r="G665">
        <v>128</v>
      </c>
      <c r="H665">
        <v>77</v>
      </c>
      <c r="I665">
        <v>12</v>
      </c>
      <c r="J665">
        <v>6.1</v>
      </c>
      <c r="K665" t="s">
        <v>39</v>
      </c>
      <c r="L665" t="s">
        <v>31</v>
      </c>
      <c r="M665" t="s">
        <v>47</v>
      </c>
      <c r="N665" t="s">
        <v>33</v>
      </c>
      <c r="O665" t="s">
        <v>48</v>
      </c>
      <c r="P665" t="s">
        <v>35</v>
      </c>
      <c r="Q665">
        <v>599</v>
      </c>
      <c r="R665">
        <v>536</v>
      </c>
    </row>
    <row r="666" spans="1:18">
      <c r="A666" t="s">
        <v>741</v>
      </c>
      <c r="B666" t="s">
        <v>54</v>
      </c>
      <c r="C666" t="s">
        <v>55</v>
      </c>
      <c r="D666" s="8">
        <v>2024</v>
      </c>
      <c r="E666" s="29">
        <v>2</v>
      </c>
      <c r="F666">
        <v>4</v>
      </c>
      <c r="G666">
        <v>512</v>
      </c>
      <c r="H666">
        <v>79</v>
      </c>
      <c r="I666">
        <v>50</v>
      </c>
      <c r="J666">
        <v>6.7</v>
      </c>
      <c r="K666" t="s">
        <v>56</v>
      </c>
      <c r="L666" t="s">
        <v>22</v>
      </c>
      <c r="M666" t="s">
        <v>32</v>
      </c>
      <c r="N666" t="s">
        <v>33</v>
      </c>
      <c r="O666" t="s">
        <v>52</v>
      </c>
      <c r="P666" t="s">
        <v>35</v>
      </c>
      <c r="Q666">
        <v>549</v>
      </c>
      <c r="R666">
        <v>449</v>
      </c>
    </row>
    <row r="667" spans="1:18">
      <c r="A667" t="s">
        <v>742</v>
      </c>
      <c r="B667" t="s">
        <v>54</v>
      </c>
      <c r="C667" t="s">
        <v>55</v>
      </c>
      <c r="D667" s="8">
        <v>2022</v>
      </c>
      <c r="E667" s="29">
        <v>4</v>
      </c>
      <c r="F667">
        <v>12</v>
      </c>
      <c r="G667">
        <v>256</v>
      </c>
      <c r="H667">
        <v>84</v>
      </c>
      <c r="I667">
        <v>108</v>
      </c>
      <c r="J667">
        <v>6.5</v>
      </c>
      <c r="K667" t="s">
        <v>56</v>
      </c>
      <c r="L667" t="s">
        <v>59</v>
      </c>
      <c r="M667" t="s">
        <v>23</v>
      </c>
      <c r="N667" t="s">
        <v>24</v>
      </c>
      <c r="O667" t="s">
        <v>61</v>
      </c>
      <c r="P667" t="s">
        <v>26</v>
      </c>
      <c r="Q667">
        <v>549</v>
      </c>
      <c r="R667">
        <v>530</v>
      </c>
    </row>
    <row r="668" spans="1:18">
      <c r="A668" t="s">
        <v>743</v>
      </c>
      <c r="B668" t="s">
        <v>77</v>
      </c>
      <c r="C668" t="s">
        <v>78</v>
      </c>
      <c r="D668" s="8">
        <v>2020</v>
      </c>
      <c r="E668" s="29">
        <v>6</v>
      </c>
      <c r="F668">
        <v>12</v>
      </c>
      <c r="G668">
        <v>256</v>
      </c>
      <c r="H668">
        <v>92</v>
      </c>
      <c r="I668">
        <v>12</v>
      </c>
      <c r="J668">
        <v>6.7</v>
      </c>
      <c r="K668" t="s">
        <v>79</v>
      </c>
      <c r="L668" t="s">
        <v>59</v>
      </c>
      <c r="M668" t="s">
        <v>60</v>
      </c>
      <c r="N668" t="s">
        <v>24</v>
      </c>
      <c r="O668" t="s">
        <v>87</v>
      </c>
      <c r="P668" t="s">
        <v>26</v>
      </c>
      <c r="Q668">
        <v>699</v>
      </c>
      <c r="R668">
        <v>631</v>
      </c>
    </row>
    <row r="669" spans="1:18">
      <c r="A669" t="s">
        <v>744</v>
      </c>
      <c r="B669" t="s">
        <v>54</v>
      </c>
      <c r="C669" t="s">
        <v>55</v>
      </c>
      <c r="D669" s="8">
        <v>2021</v>
      </c>
      <c r="E669" s="29">
        <v>5</v>
      </c>
      <c r="F669">
        <v>4</v>
      </c>
      <c r="G669">
        <v>64</v>
      </c>
      <c r="H669">
        <v>90</v>
      </c>
      <c r="I669">
        <v>12</v>
      </c>
      <c r="J669">
        <v>6.4</v>
      </c>
      <c r="K669" t="s">
        <v>56</v>
      </c>
      <c r="L669" t="s">
        <v>31</v>
      </c>
      <c r="M669" t="s">
        <v>23</v>
      </c>
      <c r="N669" t="s">
        <v>24</v>
      </c>
      <c r="O669" t="s">
        <v>87</v>
      </c>
      <c r="P669" t="s">
        <v>26</v>
      </c>
      <c r="Q669">
        <v>549</v>
      </c>
      <c r="R669">
        <v>505</v>
      </c>
    </row>
    <row r="670" spans="1:18">
      <c r="A670" t="s">
        <v>745</v>
      </c>
      <c r="B670" t="s">
        <v>77</v>
      </c>
      <c r="C670" t="s">
        <v>78</v>
      </c>
      <c r="D670" s="8">
        <v>2020</v>
      </c>
      <c r="E670" s="29">
        <v>6</v>
      </c>
      <c r="F670">
        <v>8</v>
      </c>
      <c r="G670">
        <v>128</v>
      </c>
      <c r="H670">
        <v>84</v>
      </c>
      <c r="I670">
        <v>64</v>
      </c>
      <c r="J670">
        <v>6.4</v>
      </c>
      <c r="K670" t="s">
        <v>79</v>
      </c>
      <c r="L670" t="s">
        <v>59</v>
      </c>
      <c r="M670" t="s">
        <v>23</v>
      </c>
      <c r="N670" t="s">
        <v>33</v>
      </c>
      <c r="O670" t="s">
        <v>25</v>
      </c>
      <c r="P670" t="s">
        <v>35</v>
      </c>
      <c r="Q670">
        <v>699</v>
      </c>
      <c r="R670">
        <v>558</v>
      </c>
    </row>
    <row r="671" spans="1:18">
      <c r="A671" t="s">
        <v>746</v>
      </c>
      <c r="B671" t="s">
        <v>89</v>
      </c>
      <c r="C671" t="s">
        <v>115</v>
      </c>
      <c r="D671" s="8">
        <v>2020</v>
      </c>
      <c r="E671" s="29">
        <v>6</v>
      </c>
      <c r="F671">
        <v>6</v>
      </c>
      <c r="G671">
        <v>64</v>
      </c>
      <c r="H671">
        <v>75</v>
      </c>
      <c r="I671">
        <v>64</v>
      </c>
      <c r="J671">
        <v>6.67</v>
      </c>
      <c r="K671" t="s">
        <v>116</v>
      </c>
      <c r="L671" t="s">
        <v>59</v>
      </c>
      <c r="M671" t="s">
        <v>47</v>
      </c>
      <c r="N671" t="s">
        <v>24</v>
      </c>
      <c r="O671" t="s">
        <v>25</v>
      </c>
      <c r="P671" t="s">
        <v>35</v>
      </c>
      <c r="Q671">
        <v>999</v>
      </c>
      <c r="R671">
        <v>789</v>
      </c>
    </row>
    <row r="672" spans="1:18">
      <c r="A672" t="s">
        <v>747</v>
      </c>
      <c r="B672" t="s">
        <v>89</v>
      </c>
      <c r="C672" t="s">
        <v>115</v>
      </c>
      <c r="D672" s="8">
        <v>2024</v>
      </c>
      <c r="E672" s="29">
        <v>2</v>
      </c>
      <c r="F672">
        <v>12</v>
      </c>
      <c r="G672">
        <v>64</v>
      </c>
      <c r="H672">
        <v>97</v>
      </c>
      <c r="I672">
        <v>108</v>
      </c>
      <c r="J672">
        <v>6.78</v>
      </c>
      <c r="K672" t="s">
        <v>116</v>
      </c>
      <c r="L672" t="s">
        <v>31</v>
      </c>
      <c r="M672" t="s">
        <v>47</v>
      </c>
      <c r="N672" t="s">
        <v>33</v>
      </c>
      <c r="O672" t="s">
        <v>34</v>
      </c>
      <c r="P672" t="s">
        <v>35</v>
      </c>
      <c r="Q672">
        <v>999</v>
      </c>
      <c r="R672">
        <v>928</v>
      </c>
    </row>
    <row r="673" spans="1:18">
      <c r="A673" t="s">
        <v>748</v>
      </c>
      <c r="B673" t="s">
        <v>54</v>
      </c>
      <c r="C673" t="s">
        <v>55</v>
      </c>
      <c r="D673" s="8">
        <v>2020</v>
      </c>
      <c r="E673" s="29">
        <v>6</v>
      </c>
      <c r="F673">
        <v>8</v>
      </c>
      <c r="G673">
        <v>256</v>
      </c>
      <c r="H673">
        <v>96</v>
      </c>
      <c r="I673">
        <v>64</v>
      </c>
      <c r="J673">
        <v>6.78</v>
      </c>
      <c r="K673" t="s">
        <v>56</v>
      </c>
      <c r="L673" t="s">
        <v>22</v>
      </c>
      <c r="M673" t="s">
        <v>32</v>
      </c>
      <c r="N673" t="s">
        <v>33</v>
      </c>
      <c r="O673" t="s">
        <v>48</v>
      </c>
      <c r="P673" t="s">
        <v>26</v>
      </c>
      <c r="Q673">
        <v>549</v>
      </c>
      <c r="R673">
        <v>434</v>
      </c>
    </row>
    <row r="674" spans="1:18">
      <c r="A674" t="s">
        <v>749</v>
      </c>
      <c r="B674" t="s">
        <v>37</v>
      </c>
      <c r="C674" t="s">
        <v>38</v>
      </c>
      <c r="D674" s="8">
        <v>2021</v>
      </c>
      <c r="E674" s="29">
        <v>5</v>
      </c>
      <c r="F674">
        <v>12</v>
      </c>
      <c r="G674">
        <v>128</v>
      </c>
      <c r="H674">
        <v>79</v>
      </c>
      <c r="I674">
        <v>48</v>
      </c>
      <c r="J674">
        <v>6.7</v>
      </c>
      <c r="K674" t="s">
        <v>39</v>
      </c>
      <c r="L674" t="s">
        <v>59</v>
      </c>
      <c r="M674" t="s">
        <v>23</v>
      </c>
      <c r="N674" t="s">
        <v>33</v>
      </c>
      <c r="O674" t="s">
        <v>84</v>
      </c>
      <c r="P674" t="s">
        <v>26</v>
      </c>
      <c r="Q674">
        <v>599</v>
      </c>
      <c r="R674">
        <v>511</v>
      </c>
    </row>
    <row r="675" spans="1:18">
      <c r="A675" t="s">
        <v>750</v>
      </c>
      <c r="B675" t="s">
        <v>64</v>
      </c>
      <c r="C675" t="s">
        <v>65</v>
      </c>
      <c r="D675" s="8">
        <v>2024</v>
      </c>
      <c r="E675" s="29">
        <v>2</v>
      </c>
      <c r="F675">
        <v>6</v>
      </c>
      <c r="G675">
        <v>64</v>
      </c>
      <c r="H675">
        <v>90</v>
      </c>
      <c r="I675">
        <v>64</v>
      </c>
      <c r="J675">
        <v>6.5</v>
      </c>
      <c r="K675" t="s">
        <v>66</v>
      </c>
      <c r="L675" t="s">
        <v>22</v>
      </c>
      <c r="M675" t="s">
        <v>60</v>
      </c>
      <c r="N675" t="s">
        <v>24</v>
      </c>
      <c r="O675" t="s">
        <v>48</v>
      </c>
      <c r="P675" t="s">
        <v>26</v>
      </c>
      <c r="Q675">
        <v>499</v>
      </c>
      <c r="R675">
        <v>328</v>
      </c>
    </row>
    <row r="676" spans="1:18">
      <c r="A676" t="s">
        <v>751</v>
      </c>
      <c r="B676" t="s">
        <v>54</v>
      </c>
      <c r="C676" t="s">
        <v>55</v>
      </c>
      <c r="D676" s="8">
        <v>2021</v>
      </c>
      <c r="E676" s="29">
        <v>5</v>
      </c>
      <c r="F676">
        <v>4</v>
      </c>
      <c r="G676">
        <v>256</v>
      </c>
      <c r="H676">
        <v>97</v>
      </c>
      <c r="I676">
        <v>48</v>
      </c>
      <c r="J676">
        <v>6.5</v>
      </c>
      <c r="K676" t="s">
        <v>56</v>
      </c>
      <c r="L676" t="s">
        <v>59</v>
      </c>
      <c r="M676" t="s">
        <v>40</v>
      </c>
      <c r="N676" t="s">
        <v>24</v>
      </c>
      <c r="O676" t="s">
        <v>84</v>
      </c>
      <c r="P676" t="s">
        <v>35</v>
      </c>
      <c r="Q676">
        <v>549</v>
      </c>
      <c r="R676">
        <v>471</v>
      </c>
    </row>
    <row r="677" spans="1:18">
      <c r="A677" t="s">
        <v>752</v>
      </c>
      <c r="B677" t="s">
        <v>77</v>
      </c>
      <c r="C677" t="s">
        <v>78</v>
      </c>
      <c r="D677" s="8">
        <v>2020</v>
      </c>
      <c r="E677" s="29">
        <v>6</v>
      </c>
      <c r="F677">
        <v>4</v>
      </c>
      <c r="G677">
        <v>128</v>
      </c>
      <c r="H677">
        <v>79</v>
      </c>
      <c r="I677">
        <v>108</v>
      </c>
      <c r="J677">
        <v>6.2</v>
      </c>
      <c r="K677" t="s">
        <v>79</v>
      </c>
      <c r="L677" t="s">
        <v>22</v>
      </c>
      <c r="M677" t="s">
        <v>40</v>
      </c>
      <c r="N677" t="s">
        <v>24</v>
      </c>
      <c r="O677" t="s">
        <v>87</v>
      </c>
      <c r="P677" t="s">
        <v>35</v>
      </c>
      <c r="Q677">
        <v>699</v>
      </c>
      <c r="R677">
        <v>496</v>
      </c>
    </row>
    <row r="678" spans="1:18">
      <c r="A678" t="s">
        <v>753</v>
      </c>
      <c r="B678" t="s">
        <v>44</v>
      </c>
      <c r="C678" t="s">
        <v>45</v>
      </c>
      <c r="D678" s="8">
        <v>2021</v>
      </c>
      <c r="E678" s="29">
        <v>5</v>
      </c>
      <c r="F678">
        <v>8</v>
      </c>
      <c r="G678">
        <v>256</v>
      </c>
      <c r="H678">
        <v>84</v>
      </c>
      <c r="I678">
        <v>108</v>
      </c>
      <c r="J678">
        <v>6.5</v>
      </c>
      <c r="K678" t="s">
        <v>46</v>
      </c>
      <c r="L678" t="s">
        <v>22</v>
      </c>
      <c r="M678" t="s">
        <v>40</v>
      </c>
      <c r="N678" t="s">
        <v>33</v>
      </c>
      <c r="O678" t="s">
        <v>52</v>
      </c>
      <c r="P678" t="s">
        <v>35</v>
      </c>
      <c r="Q678">
        <v>799</v>
      </c>
      <c r="R678">
        <v>591</v>
      </c>
    </row>
    <row r="679" spans="1:18">
      <c r="A679" t="s">
        <v>754</v>
      </c>
      <c r="B679" t="s">
        <v>73</v>
      </c>
      <c r="C679" t="s">
        <v>74</v>
      </c>
      <c r="D679" s="8">
        <v>2022</v>
      </c>
      <c r="E679" s="29">
        <v>4</v>
      </c>
      <c r="F679">
        <v>6</v>
      </c>
      <c r="G679">
        <v>512</v>
      </c>
      <c r="H679">
        <v>84</v>
      </c>
      <c r="I679">
        <v>12</v>
      </c>
      <c r="J679">
        <v>6.1</v>
      </c>
      <c r="K679" t="s">
        <v>75</v>
      </c>
      <c r="L679" t="s">
        <v>31</v>
      </c>
      <c r="M679" t="s">
        <v>32</v>
      </c>
      <c r="N679" t="s">
        <v>24</v>
      </c>
      <c r="O679" t="s">
        <v>84</v>
      </c>
      <c r="P679" t="s">
        <v>35</v>
      </c>
      <c r="Q679">
        <v>799</v>
      </c>
      <c r="R679">
        <v>778</v>
      </c>
    </row>
    <row r="680" spans="1:18">
      <c r="A680" t="s">
        <v>755</v>
      </c>
      <c r="B680" t="s">
        <v>37</v>
      </c>
      <c r="C680" t="s">
        <v>38</v>
      </c>
      <c r="D680" s="8">
        <v>2023</v>
      </c>
      <c r="E680" s="29">
        <v>3</v>
      </c>
      <c r="F680">
        <v>8</v>
      </c>
      <c r="G680">
        <v>512</v>
      </c>
      <c r="H680">
        <v>91</v>
      </c>
      <c r="I680">
        <v>48</v>
      </c>
      <c r="J680">
        <v>6.78</v>
      </c>
      <c r="K680" t="s">
        <v>39</v>
      </c>
      <c r="L680" t="s">
        <v>22</v>
      </c>
      <c r="M680" t="s">
        <v>60</v>
      </c>
      <c r="N680" t="s">
        <v>24</v>
      </c>
      <c r="O680" t="s">
        <v>25</v>
      </c>
      <c r="P680" t="s">
        <v>26</v>
      </c>
      <c r="Q680">
        <v>599</v>
      </c>
      <c r="R680">
        <v>507</v>
      </c>
    </row>
    <row r="681" spans="1:18">
      <c r="A681" t="s">
        <v>756</v>
      </c>
      <c r="B681" t="s">
        <v>68</v>
      </c>
      <c r="C681" t="s">
        <v>81</v>
      </c>
      <c r="D681" s="8">
        <v>2021</v>
      </c>
      <c r="E681" s="29">
        <v>5</v>
      </c>
      <c r="F681">
        <v>4</v>
      </c>
      <c r="G681">
        <v>64</v>
      </c>
      <c r="H681">
        <v>87</v>
      </c>
      <c r="I681">
        <v>108</v>
      </c>
      <c r="J681">
        <v>6.5</v>
      </c>
      <c r="K681" t="s">
        <v>82</v>
      </c>
      <c r="L681" t="s">
        <v>57</v>
      </c>
      <c r="M681" t="s">
        <v>23</v>
      </c>
      <c r="N681" t="s">
        <v>24</v>
      </c>
      <c r="O681" t="s">
        <v>25</v>
      </c>
      <c r="P681" t="s">
        <v>26</v>
      </c>
      <c r="Q681">
        <v>299</v>
      </c>
      <c r="R681">
        <v>168</v>
      </c>
    </row>
    <row r="682" spans="1:18">
      <c r="A682" t="s">
        <v>757</v>
      </c>
      <c r="B682" t="s">
        <v>28</v>
      </c>
      <c r="C682" t="s">
        <v>29</v>
      </c>
      <c r="D682" s="8">
        <v>2022</v>
      </c>
      <c r="E682" s="29">
        <v>4</v>
      </c>
      <c r="F682">
        <v>8</v>
      </c>
      <c r="G682">
        <v>256</v>
      </c>
      <c r="H682">
        <v>96</v>
      </c>
      <c r="I682">
        <v>64</v>
      </c>
      <c r="J682">
        <v>6.7</v>
      </c>
      <c r="K682" t="s">
        <v>30</v>
      </c>
      <c r="L682" t="s">
        <v>22</v>
      </c>
      <c r="M682" t="s">
        <v>32</v>
      </c>
      <c r="N682" t="s">
        <v>24</v>
      </c>
      <c r="O682" t="s">
        <v>84</v>
      </c>
      <c r="P682" t="s">
        <v>26</v>
      </c>
      <c r="Q682">
        <v>599</v>
      </c>
      <c r="R682">
        <v>443</v>
      </c>
    </row>
    <row r="683" spans="1:18">
      <c r="A683" t="s">
        <v>758</v>
      </c>
      <c r="B683" t="s">
        <v>54</v>
      </c>
      <c r="C683" t="s">
        <v>55</v>
      </c>
      <c r="D683" s="8">
        <v>2020</v>
      </c>
      <c r="E683" s="29">
        <v>6</v>
      </c>
      <c r="F683">
        <v>6</v>
      </c>
      <c r="G683">
        <v>128</v>
      </c>
      <c r="H683">
        <v>78</v>
      </c>
      <c r="I683">
        <v>50</v>
      </c>
      <c r="J683">
        <v>6.67</v>
      </c>
      <c r="K683" t="s">
        <v>56</v>
      </c>
      <c r="L683" t="s">
        <v>59</v>
      </c>
      <c r="M683" t="s">
        <v>40</v>
      </c>
      <c r="N683" t="s">
        <v>24</v>
      </c>
      <c r="O683" t="s">
        <v>61</v>
      </c>
      <c r="P683" t="s">
        <v>26</v>
      </c>
      <c r="Q683">
        <v>549</v>
      </c>
      <c r="R683">
        <v>492</v>
      </c>
    </row>
    <row r="684" spans="1:18">
      <c r="A684" t="s">
        <v>759</v>
      </c>
      <c r="B684" t="s">
        <v>37</v>
      </c>
      <c r="C684" t="s">
        <v>38</v>
      </c>
      <c r="D684" s="8">
        <v>2023</v>
      </c>
      <c r="E684" s="29">
        <v>3</v>
      </c>
      <c r="F684">
        <v>12</v>
      </c>
      <c r="G684">
        <v>128</v>
      </c>
      <c r="H684">
        <v>93</v>
      </c>
      <c r="I684">
        <v>50</v>
      </c>
      <c r="J684">
        <v>6.7</v>
      </c>
      <c r="K684" t="s">
        <v>39</v>
      </c>
      <c r="L684" t="s">
        <v>22</v>
      </c>
      <c r="M684" t="s">
        <v>47</v>
      </c>
      <c r="N684" t="s">
        <v>33</v>
      </c>
      <c r="O684" t="s">
        <v>34</v>
      </c>
      <c r="P684" t="s">
        <v>35</v>
      </c>
      <c r="Q684">
        <v>599</v>
      </c>
      <c r="R684">
        <v>468</v>
      </c>
    </row>
    <row r="685" spans="1:18">
      <c r="A685" t="s">
        <v>760</v>
      </c>
      <c r="B685" t="s">
        <v>19</v>
      </c>
      <c r="C685" t="s">
        <v>20</v>
      </c>
      <c r="D685" s="8">
        <v>2022</v>
      </c>
      <c r="E685" s="29">
        <v>4</v>
      </c>
      <c r="F685">
        <v>6</v>
      </c>
      <c r="G685">
        <v>512</v>
      </c>
      <c r="H685">
        <v>84</v>
      </c>
      <c r="I685">
        <v>12</v>
      </c>
      <c r="J685">
        <v>6.7</v>
      </c>
      <c r="K685" t="s">
        <v>21</v>
      </c>
      <c r="L685" t="s">
        <v>59</v>
      </c>
      <c r="M685" t="s">
        <v>47</v>
      </c>
      <c r="N685" t="s">
        <v>33</v>
      </c>
      <c r="O685" t="s">
        <v>41</v>
      </c>
      <c r="P685" t="s">
        <v>35</v>
      </c>
      <c r="Q685">
        <v>599</v>
      </c>
      <c r="R685">
        <v>556</v>
      </c>
    </row>
    <row r="686" spans="1:18">
      <c r="A686" t="s">
        <v>761</v>
      </c>
      <c r="B686" t="s">
        <v>68</v>
      </c>
      <c r="C686" t="s">
        <v>81</v>
      </c>
      <c r="D686" s="8">
        <v>2020</v>
      </c>
      <c r="E686" s="29">
        <v>6</v>
      </c>
      <c r="F686">
        <v>6</v>
      </c>
      <c r="G686">
        <v>128</v>
      </c>
      <c r="H686">
        <v>79</v>
      </c>
      <c r="I686">
        <v>64</v>
      </c>
      <c r="J686">
        <v>6.1</v>
      </c>
      <c r="K686" t="s">
        <v>82</v>
      </c>
      <c r="L686" t="s">
        <v>31</v>
      </c>
      <c r="M686" t="s">
        <v>40</v>
      </c>
      <c r="N686" t="s">
        <v>24</v>
      </c>
      <c r="O686" t="s">
        <v>61</v>
      </c>
      <c r="P686" t="s">
        <v>35</v>
      </c>
      <c r="Q686">
        <v>299</v>
      </c>
      <c r="R686">
        <v>289</v>
      </c>
    </row>
    <row r="687" spans="1:18">
      <c r="A687" t="s">
        <v>762</v>
      </c>
      <c r="B687" t="s">
        <v>37</v>
      </c>
      <c r="C687" t="s">
        <v>38</v>
      </c>
      <c r="D687" s="8">
        <v>2020</v>
      </c>
      <c r="E687" s="29">
        <v>6</v>
      </c>
      <c r="F687">
        <v>12</v>
      </c>
      <c r="G687">
        <v>128</v>
      </c>
      <c r="H687">
        <v>87</v>
      </c>
      <c r="I687">
        <v>64</v>
      </c>
      <c r="J687">
        <v>6.4</v>
      </c>
      <c r="K687" t="s">
        <v>39</v>
      </c>
      <c r="L687" t="s">
        <v>22</v>
      </c>
      <c r="M687" t="s">
        <v>32</v>
      </c>
      <c r="N687" t="s">
        <v>24</v>
      </c>
      <c r="O687" t="s">
        <v>87</v>
      </c>
      <c r="P687" t="s">
        <v>26</v>
      </c>
      <c r="Q687">
        <v>599</v>
      </c>
      <c r="R687">
        <v>449</v>
      </c>
    </row>
    <row r="688" spans="1:18">
      <c r="A688" t="s">
        <v>763</v>
      </c>
      <c r="B688" t="s">
        <v>28</v>
      </c>
      <c r="C688" t="s">
        <v>29</v>
      </c>
      <c r="D688" s="8">
        <v>2024</v>
      </c>
      <c r="E688" s="29">
        <v>2</v>
      </c>
      <c r="F688">
        <v>6</v>
      </c>
      <c r="G688">
        <v>256</v>
      </c>
      <c r="H688">
        <v>90</v>
      </c>
      <c r="I688">
        <v>50</v>
      </c>
      <c r="J688">
        <v>6.78</v>
      </c>
      <c r="K688" t="s">
        <v>30</v>
      </c>
      <c r="L688" t="s">
        <v>57</v>
      </c>
      <c r="M688" t="s">
        <v>60</v>
      </c>
      <c r="N688" t="s">
        <v>24</v>
      </c>
      <c r="O688" t="s">
        <v>87</v>
      </c>
      <c r="P688" t="s">
        <v>26</v>
      </c>
      <c r="Q688">
        <v>599</v>
      </c>
      <c r="R688">
        <v>340</v>
      </c>
    </row>
    <row r="689" spans="1:18">
      <c r="A689" t="s">
        <v>764</v>
      </c>
      <c r="B689" t="s">
        <v>77</v>
      </c>
      <c r="C689" t="s">
        <v>78</v>
      </c>
      <c r="D689" s="8">
        <v>2024</v>
      </c>
      <c r="E689" s="29">
        <v>2</v>
      </c>
      <c r="F689">
        <v>4</v>
      </c>
      <c r="G689">
        <v>128</v>
      </c>
      <c r="H689">
        <v>95</v>
      </c>
      <c r="I689">
        <v>108</v>
      </c>
      <c r="J689">
        <v>6.4</v>
      </c>
      <c r="K689" t="s">
        <v>79</v>
      </c>
      <c r="L689" t="s">
        <v>57</v>
      </c>
      <c r="M689" t="s">
        <v>86</v>
      </c>
      <c r="N689" t="s">
        <v>33</v>
      </c>
      <c r="O689" t="s">
        <v>87</v>
      </c>
      <c r="P689" t="s">
        <v>26</v>
      </c>
      <c r="Q689">
        <v>699</v>
      </c>
      <c r="R689">
        <v>363</v>
      </c>
    </row>
    <row r="690" spans="1:18">
      <c r="A690" t="s">
        <v>765</v>
      </c>
      <c r="B690" t="s">
        <v>89</v>
      </c>
      <c r="C690" t="s">
        <v>90</v>
      </c>
      <c r="D690" s="8">
        <v>2020</v>
      </c>
      <c r="E690" s="29">
        <v>6</v>
      </c>
      <c r="F690">
        <v>8</v>
      </c>
      <c r="G690">
        <v>128</v>
      </c>
      <c r="H690">
        <v>91</v>
      </c>
      <c r="I690">
        <v>48</v>
      </c>
      <c r="J690">
        <v>6.7</v>
      </c>
      <c r="K690" t="s">
        <v>91</v>
      </c>
      <c r="L690" t="s">
        <v>59</v>
      </c>
      <c r="M690" t="s">
        <v>40</v>
      </c>
      <c r="N690" t="s">
        <v>24</v>
      </c>
      <c r="O690" t="s">
        <v>25</v>
      </c>
      <c r="P690" t="s">
        <v>26</v>
      </c>
      <c r="Q690">
        <v>449</v>
      </c>
      <c r="R690">
        <v>389</v>
      </c>
    </row>
    <row r="691" spans="1:18">
      <c r="A691" t="s">
        <v>766</v>
      </c>
      <c r="B691" t="s">
        <v>77</v>
      </c>
      <c r="C691" t="s">
        <v>78</v>
      </c>
      <c r="D691" s="8">
        <v>2020</v>
      </c>
      <c r="E691" s="29">
        <v>6</v>
      </c>
      <c r="F691">
        <v>12</v>
      </c>
      <c r="G691">
        <v>256</v>
      </c>
      <c r="H691">
        <v>94</v>
      </c>
      <c r="I691">
        <v>64</v>
      </c>
      <c r="J691">
        <v>6.78</v>
      </c>
      <c r="K691" t="s">
        <v>79</v>
      </c>
      <c r="L691" t="s">
        <v>59</v>
      </c>
      <c r="M691" t="s">
        <v>32</v>
      </c>
      <c r="N691" t="s">
        <v>24</v>
      </c>
      <c r="O691" t="s">
        <v>84</v>
      </c>
      <c r="P691" t="s">
        <v>26</v>
      </c>
      <c r="Q691">
        <v>699</v>
      </c>
      <c r="R691">
        <v>649</v>
      </c>
    </row>
    <row r="692" spans="1:18">
      <c r="A692" t="s">
        <v>767</v>
      </c>
      <c r="B692" t="s">
        <v>19</v>
      </c>
      <c r="C692" t="s">
        <v>20</v>
      </c>
      <c r="D692" s="8">
        <v>2023</v>
      </c>
      <c r="E692" s="29">
        <v>3</v>
      </c>
      <c r="F692">
        <v>12</v>
      </c>
      <c r="G692">
        <v>128</v>
      </c>
      <c r="H692">
        <v>83</v>
      </c>
      <c r="I692">
        <v>48</v>
      </c>
      <c r="J692">
        <v>6.4</v>
      </c>
      <c r="K692" t="s">
        <v>21</v>
      </c>
      <c r="L692" t="s">
        <v>59</v>
      </c>
      <c r="M692" t="s">
        <v>47</v>
      </c>
      <c r="N692" t="s">
        <v>33</v>
      </c>
      <c r="O692" t="s">
        <v>52</v>
      </c>
      <c r="P692" t="s">
        <v>35</v>
      </c>
      <c r="Q692">
        <v>599</v>
      </c>
      <c r="R692">
        <v>506</v>
      </c>
    </row>
    <row r="693" spans="1:18">
      <c r="A693" t="s">
        <v>768</v>
      </c>
      <c r="B693" t="s">
        <v>89</v>
      </c>
      <c r="C693" t="s">
        <v>90</v>
      </c>
      <c r="D693" s="8">
        <v>2022</v>
      </c>
      <c r="E693" s="29">
        <v>4</v>
      </c>
      <c r="F693">
        <v>4</v>
      </c>
      <c r="G693">
        <v>256</v>
      </c>
      <c r="H693">
        <v>86</v>
      </c>
      <c r="I693">
        <v>108</v>
      </c>
      <c r="J693">
        <v>6.1</v>
      </c>
      <c r="K693" t="s">
        <v>91</v>
      </c>
      <c r="L693" t="s">
        <v>31</v>
      </c>
      <c r="M693" t="s">
        <v>23</v>
      </c>
      <c r="N693" t="s">
        <v>33</v>
      </c>
      <c r="O693" t="s">
        <v>52</v>
      </c>
      <c r="P693" t="s">
        <v>35</v>
      </c>
      <c r="Q693">
        <v>449</v>
      </c>
      <c r="R693">
        <v>439</v>
      </c>
    </row>
    <row r="694" spans="1:18">
      <c r="A694" t="s">
        <v>769</v>
      </c>
      <c r="B694" t="s">
        <v>77</v>
      </c>
      <c r="C694" t="s">
        <v>78</v>
      </c>
      <c r="D694" s="8">
        <v>2020</v>
      </c>
      <c r="E694" s="29">
        <v>6</v>
      </c>
      <c r="F694">
        <v>8</v>
      </c>
      <c r="G694">
        <v>256</v>
      </c>
      <c r="H694">
        <v>91</v>
      </c>
      <c r="I694">
        <v>50</v>
      </c>
      <c r="J694">
        <v>6.7</v>
      </c>
      <c r="K694" t="s">
        <v>79</v>
      </c>
      <c r="L694" t="s">
        <v>22</v>
      </c>
      <c r="M694" t="s">
        <v>47</v>
      </c>
      <c r="N694" t="s">
        <v>24</v>
      </c>
      <c r="O694" t="s">
        <v>25</v>
      </c>
      <c r="P694" t="s">
        <v>35</v>
      </c>
      <c r="Q694">
        <v>699</v>
      </c>
      <c r="R694">
        <v>499</v>
      </c>
    </row>
    <row r="695" spans="1:18">
      <c r="A695" t="s">
        <v>770</v>
      </c>
      <c r="B695" t="s">
        <v>37</v>
      </c>
      <c r="C695" t="s">
        <v>38</v>
      </c>
      <c r="D695" s="8">
        <v>2023</v>
      </c>
      <c r="E695" s="29">
        <v>3</v>
      </c>
      <c r="F695">
        <v>6</v>
      </c>
      <c r="G695">
        <v>256</v>
      </c>
      <c r="H695">
        <v>98</v>
      </c>
      <c r="I695">
        <v>64</v>
      </c>
      <c r="J695">
        <v>6.7</v>
      </c>
      <c r="K695" t="s">
        <v>39</v>
      </c>
      <c r="L695" t="s">
        <v>59</v>
      </c>
      <c r="M695" t="s">
        <v>47</v>
      </c>
      <c r="N695" t="s">
        <v>24</v>
      </c>
      <c r="O695" t="s">
        <v>87</v>
      </c>
      <c r="P695" t="s">
        <v>35</v>
      </c>
      <c r="Q695">
        <v>599</v>
      </c>
      <c r="R695">
        <v>533</v>
      </c>
    </row>
    <row r="696" spans="1:18">
      <c r="A696" t="s">
        <v>771</v>
      </c>
      <c r="B696" t="s">
        <v>73</v>
      </c>
      <c r="C696" t="s">
        <v>105</v>
      </c>
      <c r="D696" s="8">
        <v>2023</v>
      </c>
      <c r="E696" s="29">
        <v>3</v>
      </c>
      <c r="F696">
        <v>6</v>
      </c>
      <c r="G696">
        <v>128</v>
      </c>
      <c r="H696">
        <v>80</v>
      </c>
      <c r="I696">
        <v>64</v>
      </c>
      <c r="J696">
        <v>6.5</v>
      </c>
      <c r="K696" t="s">
        <v>75</v>
      </c>
      <c r="L696" t="s">
        <v>57</v>
      </c>
      <c r="M696" t="s">
        <v>32</v>
      </c>
      <c r="N696" t="s">
        <v>33</v>
      </c>
      <c r="O696" t="s">
        <v>61</v>
      </c>
      <c r="P696" t="s">
        <v>26</v>
      </c>
      <c r="Q696">
        <v>899</v>
      </c>
      <c r="R696">
        <v>463</v>
      </c>
    </row>
    <row r="697" spans="1:18">
      <c r="A697" t="s">
        <v>772</v>
      </c>
      <c r="B697" t="s">
        <v>77</v>
      </c>
      <c r="C697" t="s">
        <v>78</v>
      </c>
      <c r="D697" s="8">
        <v>2023</v>
      </c>
      <c r="E697" s="29">
        <v>3</v>
      </c>
      <c r="F697">
        <v>4</v>
      </c>
      <c r="G697">
        <v>128</v>
      </c>
      <c r="H697">
        <v>90</v>
      </c>
      <c r="I697">
        <v>108</v>
      </c>
      <c r="J697">
        <v>6.4</v>
      </c>
      <c r="K697" t="s">
        <v>79</v>
      </c>
      <c r="L697" t="s">
        <v>22</v>
      </c>
      <c r="M697" t="s">
        <v>23</v>
      </c>
      <c r="N697" t="s">
        <v>33</v>
      </c>
      <c r="O697" t="s">
        <v>25</v>
      </c>
      <c r="P697" t="s">
        <v>26</v>
      </c>
      <c r="Q697">
        <v>699</v>
      </c>
      <c r="R697">
        <v>504</v>
      </c>
    </row>
    <row r="698" spans="1:18">
      <c r="A698" t="s">
        <v>773</v>
      </c>
      <c r="B698" t="s">
        <v>19</v>
      </c>
      <c r="C698" t="s">
        <v>20</v>
      </c>
      <c r="D698" s="8">
        <v>2022</v>
      </c>
      <c r="E698" s="29">
        <v>4</v>
      </c>
      <c r="F698">
        <v>8</v>
      </c>
      <c r="G698">
        <v>512</v>
      </c>
      <c r="H698">
        <v>75</v>
      </c>
      <c r="I698">
        <v>50</v>
      </c>
      <c r="J698">
        <v>6.78</v>
      </c>
      <c r="K698" t="s">
        <v>21</v>
      </c>
      <c r="L698" t="s">
        <v>59</v>
      </c>
      <c r="M698" t="s">
        <v>86</v>
      </c>
      <c r="N698" t="s">
        <v>33</v>
      </c>
      <c r="O698" t="s">
        <v>34</v>
      </c>
      <c r="P698" t="s">
        <v>35</v>
      </c>
      <c r="Q698">
        <v>599</v>
      </c>
      <c r="R698">
        <v>589</v>
      </c>
    </row>
    <row r="699" spans="1:18">
      <c r="A699" t="s">
        <v>774</v>
      </c>
      <c r="B699" t="s">
        <v>77</v>
      </c>
      <c r="C699" t="s">
        <v>78</v>
      </c>
      <c r="D699" s="8">
        <v>2022</v>
      </c>
      <c r="E699" s="29">
        <v>4</v>
      </c>
      <c r="F699">
        <v>4</v>
      </c>
      <c r="G699">
        <v>128</v>
      </c>
      <c r="H699">
        <v>97</v>
      </c>
      <c r="I699">
        <v>48</v>
      </c>
      <c r="J699">
        <v>6.1</v>
      </c>
      <c r="K699" t="s">
        <v>79</v>
      </c>
      <c r="L699" t="s">
        <v>59</v>
      </c>
      <c r="M699" t="s">
        <v>47</v>
      </c>
      <c r="N699" t="s">
        <v>33</v>
      </c>
      <c r="O699" t="s">
        <v>52</v>
      </c>
      <c r="P699" t="s">
        <v>35</v>
      </c>
      <c r="Q699">
        <v>699</v>
      </c>
      <c r="R699">
        <v>596</v>
      </c>
    </row>
    <row r="700" spans="1:18">
      <c r="A700" t="s">
        <v>775</v>
      </c>
      <c r="B700" t="s">
        <v>54</v>
      </c>
      <c r="C700" t="s">
        <v>55</v>
      </c>
      <c r="D700" s="8">
        <v>2022</v>
      </c>
      <c r="E700" s="29">
        <v>4</v>
      </c>
      <c r="F700">
        <v>6</v>
      </c>
      <c r="G700">
        <v>128</v>
      </c>
      <c r="H700">
        <v>95</v>
      </c>
      <c r="I700">
        <v>108</v>
      </c>
      <c r="J700">
        <v>6.2</v>
      </c>
      <c r="K700" t="s">
        <v>56</v>
      </c>
      <c r="L700" t="s">
        <v>31</v>
      </c>
      <c r="M700" t="s">
        <v>47</v>
      </c>
      <c r="N700" t="s">
        <v>24</v>
      </c>
      <c r="O700" t="s">
        <v>48</v>
      </c>
      <c r="P700" t="s">
        <v>35</v>
      </c>
      <c r="Q700">
        <v>549</v>
      </c>
      <c r="R700">
        <v>539</v>
      </c>
    </row>
    <row r="701" spans="1:18">
      <c r="A701" t="s">
        <v>776</v>
      </c>
      <c r="B701" t="s">
        <v>54</v>
      </c>
      <c r="C701" t="s">
        <v>55</v>
      </c>
      <c r="D701" s="8">
        <v>2021</v>
      </c>
      <c r="E701" s="29">
        <v>5</v>
      </c>
      <c r="F701">
        <v>4</v>
      </c>
      <c r="G701">
        <v>256</v>
      </c>
      <c r="H701">
        <v>94</v>
      </c>
      <c r="I701">
        <v>50</v>
      </c>
      <c r="J701">
        <v>6.7</v>
      </c>
      <c r="K701" t="s">
        <v>56</v>
      </c>
      <c r="L701" t="s">
        <v>59</v>
      </c>
      <c r="M701" t="s">
        <v>60</v>
      </c>
      <c r="N701" t="s">
        <v>33</v>
      </c>
      <c r="O701" t="s">
        <v>84</v>
      </c>
      <c r="P701" t="s">
        <v>26</v>
      </c>
      <c r="Q701">
        <v>549</v>
      </c>
      <c r="R701">
        <v>507</v>
      </c>
    </row>
    <row r="702" spans="1:18">
      <c r="A702" t="s">
        <v>777</v>
      </c>
      <c r="B702" t="s">
        <v>73</v>
      </c>
      <c r="C702" t="s">
        <v>122</v>
      </c>
      <c r="D702" s="8">
        <v>2021</v>
      </c>
      <c r="E702" s="29">
        <v>5</v>
      </c>
      <c r="F702">
        <v>6</v>
      </c>
      <c r="G702">
        <v>64</v>
      </c>
      <c r="H702">
        <v>87</v>
      </c>
      <c r="I702">
        <v>50</v>
      </c>
      <c r="J702">
        <v>6.2</v>
      </c>
      <c r="K702" t="s">
        <v>123</v>
      </c>
      <c r="L702" t="s">
        <v>59</v>
      </c>
      <c r="M702" t="s">
        <v>86</v>
      </c>
      <c r="N702" t="s">
        <v>24</v>
      </c>
      <c r="O702" t="s">
        <v>52</v>
      </c>
      <c r="P702" t="s">
        <v>35</v>
      </c>
      <c r="Q702">
        <v>699</v>
      </c>
      <c r="R702">
        <v>586</v>
      </c>
    </row>
    <row r="703" spans="1:18">
      <c r="A703" t="s">
        <v>778</v>
      </c>
      <c r="B703" t="s">
        <v>64</v>
      </c>
      <c r="C703" t="s">
        <v>65</v>
      </c>
      <c r="D703" s="8">
        <v>2023</v>
      </c>
      <c r="E703" s="29">
        <v>3</v>
      </c>
      <c r="F703">
        <v>4</v>
      </c>
      <c r="G703">
        <v>128</v>
      </c>
      <c r="H703">
        <v>79</v>
      </c>
      <c r="I703">
        <v>64</v>
      </c>
      <c r="J703">
        <v>6.4</v>
      </c>
      <c r="K703" t="s">
        <v>66</v>
      </c>
      <c r="L703" t="s">
        <v>22</v>
      </c>
      <c r="M703" t="s">
        <v>23</v>
      </c>
      <c r="N703" t="s">
        <v>33</v>
      </c>
      <c r="O703" t="s">
        <v>61</v>
      </c>
      <c r="P703" t="s">
        <v>35</v>
      </c>
      <c r="Q703">
        <v>499</v>
      </c>
      <c r="R703">
        <v>378</v>
      </c>
    </row>
    <row r="704" spans="1:18">
      <c r="A704" t="s">
        <v>779</v>
      </c>
      <c r="B704" t="s">
        <v>77</v>
      </c>
      <c r="C704" t="s">
        <v>78</v>
      </c>
      <c r="D704" s="8">
        <v>2022</v>
      </c>
      <c r="E704" s="29">
        <v>4</v>
      </c>
      <c r="F704">
        <v>4</v>
      </c>
      <c r="G704">
        <v>128</v>
      </c>
      <c r="H704">
        <v>79</v>
      </c>
      <c r="I704">
        <v>48</v>
      </c>
      <c r="J704">
        <v>6.2</v>
      </c>
      <c r="K704" t="s">
        <v>79</v>
      </c>
      <c r="L704" t="s">
        <v>22</v>
      </c>
      <c r="M704" t="s">
        <v>86</v>
      </c>
      <c r="N704" t="s">
        <v>33</v>
      </c>
      <c r="O704" t="s">
        <v>25</v>
      </c>
      <c r="P704" t="s">
        <v>35</v>
      </c>
      <c r="Q704">
        <v>699</v>
      </c>
      <c r="R704">
        <v>484</v>
      </c>
    </row>
    <row r="705" spans="1:18">
      <c r="A705" t="s">
        <v>780</v>
      </c>
      <c r="B705" t="s">
        <v>64</v>
      </c>
      <c r="C705" t="s">
        <v>65</v>
      </c>
      <c r="D705" s="8">
        <v>2023</v>
      </c>
      <c r="E705" s="29">
        <v>3</v>
      </c>
      <c r="F705">
        <v>4</v>
      </c>
      <c r="G705">
        <v>128</v>
      </c>
      <c r="H705">
        <v>95</v>
      </c>
      <c r="I705">
        <v>50</v>
      </c>
      <c r="J705">
        <v>6.2</v>
      </c>
      <c r="K705" t="s">
        <v>66</v>
      </c>
      <c r="L705" t="s">
        <v>31</v>
      </c>
      <c r="M705" t="s">
        <v>40</v>
      </c>
      <c r="N705" t="s">
        <v>33</v>
      </c>
      <c r="O705" t="s">
        <v>84</v>
      </c>
      <c r="P705" t="s">
        <v>35</v>
      </c>
      <c r="Q705">
        <v>499</v>
      </c>
      <c r="R705">
        <v>489</v>
      </c>
    </row>
    <row r="706" spans="1:18">
      <c r="A706" t="s">
        <v>781</v>
      </c>
      <c r="B706" t="s">
        <v>19</v>
      </c>
      <c r="C706" t="s">
        <v>20</v>
      </c>
      <c r="D706" s="8">
        <v>2022</v>
      </c>
      <c r="E706" s="29">
        <v>4</v>
      </c>
      <c r="F706">
        <v>8</v>
      </c>
      <c r="G706">
        <v>128</v>
      </c>
      <c r="H706">
        <v>95</v>
      </c>
      <c r="I706">
        <v>108</v>
      </c>
      <c r="J706">
        <v>6.4</v>
      </c>
      <c r="K706" t="s">
        <v>21</v>
      </c>
      <c r="L706" t="s">
        <v>59</v>
      </c>
      <c r="M706" t="s">
        <v>60</v>
      </c>
      <c r="N706" t="s">
        <v>24</v>
      </c>
      <c r="O706" t="s">
        <v>41</v>
      </c>
      <c r="P706" t="s">
        <v>35</v>
      </c>
      <c r="Q706">
        <v>599</v>
      </c>
      <c r="R706">
        <v>527</v>
      </c>
    </row>
    <row r="707" spans="1:18">
      <c r="A707" t="s">
        <v>782</v>
      </c>
      <c r="B707" t="s">
        <v>37</v>
      </c>
      <c r="C707" t="s">
        <v>38</v>
      </c>
      <c r="D707" s="8">
        <v>2020</v>
      </c>
      <c r="E707" s="29">
        <v>6</v>
      </c>
      <c r="F707">
        <v>6</v>
      </c>
      <c r="G707">
        <v>64</v>
      </c>
      <c r="H707">
        <v>87</v>
      </c>
      <c r="I707">
        <v>50</v>
      </c>
      <c r="J707">
        <v>6.5</v>
      </c>
      <c r="K707" t="s">
        <v>39</v>
      </c>
      <c r="L707" t="s">
        <v>22</v>
      </c>
      <c r="M707" t="s">
        <v>86</v>
      </c>
      <c r="N707" t="s">
        <v>24</v>
      </c>
      <c r="O707" t="s">
        <v>41</v>
      </c>
      <c r="P707" t="s">
        <v>26</v>
      </c>
      <c r="Q707">
        <v>599</v>
      </c>
      <c r="R707">
        <v>416</v>
      </c>
    </row>
    <row r="708" spans="1:18">
      <c r="A708" t="s">
        <v>783</v>
      </c>
      <c r="B708" t="s">
        <v>28</v>
      </c>
      <c r="C708" t="s">
        <v>29</v>
      </c>
      <c r="D708" s="8">
        <v>2024</v>
      </c>
      <c r="E708" s="29">
        <v>2</v>
      </c>
      <c r="F708">
        <v>4</v>
      </c>
      <c r="G708">
        <v>512</v>
      </c>
      <c r="H708">
        <v>98</v>
      </c>
      <c r="I708">
        <v>12</v>
      </c>
      <c r="J708">
        <v>6.7</v>
      </c>
      <c r="K708" t="s">
        <v>30</v>
      </c>
      <c r="L708" t="s">
        <v>22</v>
      </c>
      <c r="M708" t="s">
        <v>32</v>
      </c>
      <c r="N708" t="s">
        <v>24</v>
      </c>
      <c r="O708" t="s">
        <v>84</v>
      </c>
      <c r="P708" t="s">
        <v>35</v>
      </c>
      <c r="Q708">
        <v>599</v>
      </c>
      <c r="R708">
        <v>463</v>
      </c>
    </row>
    <row r="709" spans="1:18">
      <c r="A709" t="s">
        <v>784</v>
      </c>
      <c r="B709" t="s">
        <v>28</v>
      </c>
      <c r="C709" t="s">
        <v>29</v>
      </c>
      <c r="D709" s="8">
        <v>2024</v>
      </c>
      <c r="E709" s="29">
        <v>2</v>
      </c>
      <c r="F709">
        <v>6</v>
      </c>
      <c r="G709">
        <v>128</v>
      </c>
      <c r="H709">
        <v>89</v>
      </c>
      <c r="I709">
        <v>50</v>
      </c>
      <c r="J709">
        <v>6.78</v>
      </c>
      <c r="K709" t="s">
        <v>30</v>
      </c>
      <c r="L709" t="s">
        <v>59</v>
      </c>
      <c r="M709" t="s">
        <v>32</v>
      </c>
      <c r="N709" t="s">
        <v>33</v>
      </c>
      <c r="O709" t="s">
        <v>52</v>
      </c>
      <c r="P709" t="s">
        <v>26</v>
      </c>
      <c r="Q709">
        <v>599</v>
      </c>
      <c r="R709">
        <v>508</v>
      </c>
    </row>
    <row r="710" spans="1:18">
      <c r="A710" t="s">
        <v>785</v>
      </c>
      <c r="B710" t="s">
        <v>19</v>
      </c>
      <c r="C710" t="s">
        <v>20</v>
      </c>
      <c r="D710" s="8">
        <v>2020</v>
      </c>
      <c r="E710" s="29">
        <v>6</v>
      </c>
      <c r="F710">
        <v>4</v>
      </c>
      <c r="G710">
        <v>512</v>
      </c>
      <c r="H710">
        <v>96</v>
      </c>
      <c r="I710">
        <v>64</v>
      </c>
      <c r="J710">
        <v>6.4</v>
      </c>
      <c r="K710" t="s">
        <v>21</v>
      </c>
      <c r="L710" t="s">
        <v>59</v>
      </c>
      <c r="M710" t="s">
        <v>86</v>
      </c>
      <c r="N710" t="s">
        <v>33</v>
      </c>
      <c r="O710" t="s">
        <v>34</v>
      </c>
      <c r="P710" t="s">
        <v>35</v>
      </c>
      <c r="Q710">
        <v>599</v>
      </c>
      <c r="R710">
        <v>589</v>
      </c>
    </row>
    <row r="711" spans="1:18">
      <c r="A711" t="s">
        <v>786</v>
      </c>
      <c r="B711" t="s">
        <v>19</v>
      </c>
      <c r="C711" t="s">
        <v>20</v>
      </c>
      <c r="D711" s="8">
        <v>2023</v>
      </c>
      <c r="E711" s="29">
        <v>3</v>
      </c>
      <c r="F711">
        <v>6</v>
      </c>
      <c r="G711">
        <v>64</v>
      </c>
      <c r="H711">
        <v>99</v>
      </c>
      <c r="I711">
        <v>64</v>
      </c>
      <c r="J711">
        <v>6.7</v>
      </c>
      <c r="K711" t="s">
        <v>21</v>
      </c>
      <c r="L711" t="s">
        <v>31</v>
      </c>
      <c r="M711" t="s">
        <v>60</v>
      </c>
      <c r="N711" t="s">
        <v>33</v>
      </c>
      <c r="O711" t="s">
        <v>87</v>
      </c>
      <c r="P711" t="s">
        <v>26</v>
      </c>
      <c r="Q711">
        <v>599</v>
      </c>
      <c r="R711">
        <v>544</v>
      </c>
    </row>
    <row r="712" spans="1:18">
      <c r="A712" t="s">
        <v>787</v>
      </c>
      <c r="B712" t="s">
        <v>64</v>
      </c>
      <c r="C712" t="s">
        <v>65</v>
      </c>
      <c r="D712" s="8">
        <v>2021</v>
      </c>
      <c r="E712" s="29">
        <v>5</v>
      </c>
      <c r="F712">
        <v>12</v>
      </c>
      <c r="G712">
        <v>256</v>
      </c>
      <c r="H712">
        <v>80</v>
      </c>
      <c r="I712">
        <v>108</v>
      </c>
      <c r="J712">
        <v>6.2</v>
      </c>
      <c r="K712" t="s">
        <v>66</v>
      </c>
      <c r="L712" t="s">
        <v>22</v>
      </c>
      <c r="M712" t="s">
        <v>60</v>
      </c>
      <c r="N712" t="s">
        <v>24</v>
      </c>
      <c r="O712" t="s">
        <v>61</v>
      </c>
      <c r="P712" t="s">
        <v>35</v>
      </c>
      <c r="Q712">
        <v>499</v>
      </c>
      <c r="R712">
        <v>373</v>
      </c>
    </row>
    <row r="713" spans="1:18">
      <c r="A713" t="s">
        <v>788</v>
      </c>
      <c r="B713" t="s">
        <v>73</v>
      </c>
      <c r="C713" t="s">
        <v>105</v>
      </c>
      <c r="D713" s="8">
        <v>2023</v>
      </c>
      <c r="E713" s="29">
        <v>3</v>
      </c>
      <c r="F713">
        <v>4</v>
      </c>
      <c r="G713">
        <v>512</v>
      </c>
      <c r="H713">
        <v>88</v>
      </c>
      <c r="I713">
        <v>12</v>
      </c>
      <c r="J713">
        <v>6.2</v>
      </c>
      <c r="K713" t="s">
        <v>75</v>
      </c>
      <c r="L713" t="s">
        <v>22</v>
      </c>
      <c r="M713" t="s">
        <v>60</v>
      </c>
      <c r="N713" t="s">
        <v>24</v>
      </c>
      <c r="O713" t="s">
        <v>87</v>
      </c>
      <c r="P713" t="s">
        <v>35</v>
      </c>
      <c r="Q713">
        <v>899</v>
      </c>
      <c r="R713">
        <v>690</v>
      </c>
    </row>
    <row r="714" spans="1:18">
      <c r="A714" t="s">
        <v>789</v>
      </c>
      <c r="B714" t="s">
        <v>54</v>
      </c>
      <c r="C714" t="s">
        <v>55</v>
      </c>
      <c r="D714" s="8">
        <v>2024</v>
      </c>
      <c r="E714" s="29">
        <v>2</v>
      </c>
      <c r="F714">
        <v>6</v>
      </c>
      <c r="G714">
        <v>64</v>
      </c>
      <c r="H714">
        <v>77</v>
      </c>
      <c r="I714">
        <v>64</v>
      </c>
      <c r="J714">
        <v>6.7</v>
      </c>
      <c r="K714" t="s">
        <v>56</v>
      </c>
      <c r="L714" t="s">
        <v>22</v>
      </c>
      <c r="M714" t="s">
        <v>32</v>
      </c>
      <c r="N714" t="s">
        <v>24</v>
      </c>
      <c r="O714" t="s">
        <v>48</v>
      </c>
      <c r="P714" t="s">
        <v>26</v>
      </c>
      <c r="Q714">
        <v>549</v>
      </c>
      <c r="R714">
        <v>389</v>
      </c>
    </row>
    <row r="715" spans="1:18">
      <c r="A715" t="s">
        <v>790</v>
      </c>
      <c r="B715" t="s">
        <v>64</v>
      </c>
      <c r="C715" t="s">
        <v>65</v>
      </c>
      <c r="D715" s="8">
        <v>2022</v>
      </c>
      <c r="E715" s="29">
        <v>4</v>
      </c>
      <c r="F715">
        <v>4</v>
      </c>
      <c r="G715">
        <v>128</v>
      </c>
      <c r="H715">
        <v>94</v>
      </c>
      <c r="I715">
        <v>12</v>
      </c>
      <c r="J715">
        <v>6.5</v>
      </c>
      <c r="K715" t="s">
        <v>66</v>
      </c>
      <c r="L715" t="s">
        <v>22</v>
      </c>
      <c r="M715" t="s">
        <v>47</v>
      </c>
      <c r="N715" t="s">
        <v>33</v>
      </c>
      <c r="O715" t="s">
        <v>25</v>
      </c>
      <c r="P715" t="s">
        <v>35</v>
      </c>
      <c r="Q715">
        <v>499</v>
      </c>
      <c r="R715">
        <v>376</v>
      </c>
    </row>
    <row r="716" spans="1:18">
      <c r="A716" t="s">
        <v>791</v>
      </c>
      <c r="B716" t="s">
        <v>73</v>
      </c>
      <c r="C716" t="s">
        <v>122</v>
      </c>
      <c r="D716" s="8">
        <v>2020</v>
      </c>
      <c r="E716" s="29">
        <v>6</v>
      </c>
      <c r="F716">
        <v>6</v>
      </c>
      <c r="G716">
        <v>128</v>
      </c>
      <c r="H716">
        <v>100</v>
      </c>
      <c r="I716">
        <v>64</v>
      </c>
      <c r="J716">
        <v>6.4</v>
      </c>
      <c r="K716" t="s">
        <v>123</v>
      </c>
      <c r="L716" t="s">
        <v>59</v>
      </c>
      <c r="M716" t="s">
        <v>40</v>
      </c>
      <c r="N716" t="s">
        <v>24</v>
      </c>
      <c r="O716" t="s">
        <v>34</v>
      </c>
      <c r="P716" t="s">
        <v>26</v>
      </c>
      <c r="Q716">
        <v>699</v>
      </c>
      <c r="R716">
        <v>580</v>
      </c>
    </row>
    <row r="717" spans="1:18">
      <c r="A717" t="s">
        <v>792</v>
      </c>
      <c r="B717" t="s">
        <v>44</v>
      </c>
      <c r="C717" t="s">
        <v>45</v>
      </c>
      <c r="D717" s="8">
        <v>2020</v>
      </c>
      <c r="E717" s="29">
        <v>6</v>
      </c>
      <c r="F717">
        <v>12</v>
      </c>
      <c r="G717">
        <v>512</v>
      </c>
      <c r="H717">
        <v>87</v>
      </c>
      <c r="I717">
        <v>48</v>
      </c>
      <c r="J717">
        <v>6.2</v>
      </c>
      <c r="K717" t="s">
        <v>46</v>
      </c>
      <c r="L717" t="s">
        <v>31</v>
      </c>
      <c r="M717" t="s">
        <v>60</v>
      </c>
      <c r="N717" t="s">
        <v>24</v>
      </c>
      <c r="O717" t="s">
        <v>84</v>
      </c>
      <c r="P717" t="s">
        <v>26</v>
      </c>
      <c r="Q717">
        <v>799</v>
      </c>
      <c r="R717">
        <v>789</v>
      </c>
    </row>
    <row r="718" spans="1:18">
      <c r="A718" t="s">
        <v>793</v>
      </c>
      <c r="B718" t="s">
        <v>19</v>
      </c>
      <c r="C718" t="s">
        <v>20</v>
      </c>
      <c r="D718" s="8">
        <v>2022</v>
      </c>
      <c r="E718" s="29">
        <v>4</v>
      </c>
      <c r="F718">
        <v>6</v>
      </c>
      <c r="G718">
        <v>64</v>
      </c>
      <c r="H718">
        <v>97</v>
      </c>
      <c r="I718">
        <v>108</v>
      </c>
      <c r="J718">
        <v>6.5</v>
      </c>
      <c r="K718" t="s">
        <v>21</v>
      </c>
      <c r="L718" t="s">
        <v>31</v>
      </c>
      <c r="M718" t="s">
        <v>23</v>
      </c>
      <c r="N718" t="s">
        <v>33</v>
      </c>
      <c r="O718" t="s">
        <v>48</v>
      </c>
      <c r="P718" t="s">
        <v>35</v>
      </c>
      <c r="Q718">
        <v>599</v>
      </c>
      <c r="R718">
        <v>538</v>
      </c>
    </row>
    <row r="719" spans="1:18">
      <c r="A719" t="s">
        <v>794</v>
      </c>
      <c r="B719" t="s">
        <v>44</v>
      </c>
      <c r="C719" t="s">
        <v>45</v>
      </c>
      <c r="D719" s="8">
        <v>2021</v>
      </c>
      <c r="E719" s="29">
        <v>5</v>
      </c>
      <c r="F719">
        <v>8</v>
      </c>
      <c r="G719">
        <v>128</v>
      </c>
      <c r="H719">
        <v>99</v>
      </c>
      <c r="I719">
        <v>108</v>
      </c>
      <c r="J719">
        <v>6.67</v>
      </c>
      <c r="K719" t="s">
        <v>46</v>
      </c>
      <c r="L719" t="s">
        <v>31</v>
      </c>
      <c r="M719" t="s">
        <v>40</v>
      </c>
      <c r="N719" t="s">
        <v>24</v>
      </c>
      <c r="O719" t="s">
        <v>61</v>
      </c>
      <c r="P719" t="s">
        <v>26</v>
      </c>
      <c r="Q719">
        <v>799</v>
      </c>
      <c r="R719">
        <v>720</v>
      </c>
    </row>
    <row r="720" spans="1:18">
      <c r="A720" t="s">
        <v>795</v>
      </c>
      <c r="B720" t="s">
        <v>64</v>
      </c>
      <c r="C720" t="s">
        <v>65</v>
      </c>
      <c r="D720" s="8">
        <v>2020</v>
      </c>
      <c r="E720" s="29">
        <v>6</v>
      </c>
      <c r="F720">
        <v>6</v>
      </c>
      <c r="G720">
        <v>128</v>
      </c>
      <c r="H720">
        <v>84</v>
      </c>
      <c r="I720">
        <v>48</v>
      </c>
      <c r="J720">
        <v>6.2</v>
      </c>
      <c r="K720" t="s">
        <v>66</v>
      </c>
      <c r="L720" t="s">
        <v>59</v>
      </c>
      <c r="M720" t="s">
        <v>47</v>
      </c>
      <c r="N720" t="s">
        <v>24</v>
      </c>
      <c r="O720" t="s">
        <v>48</v>
      </c>
      <c r="P720" t="s">
        <v>26</v>
      </c>
      <c r="Q720">
        <v>499</v>
      </c>
      <c r="R720">
        <v>453</v>
      </c>
    </row>
    <row r="721" spans="1:18">
      <c r="A721" t="s">
        <v>796</v>
      </c>
      <c r="B721" t="s">
        <v>77</v>
      </c>
      <c r="C721" t="s">
        <v>78</v>
      </c>
      <c r="D721" s="8">
        <v>2024</v>
      </c>
      <c r="E721" s="29">
        <v>2</v>
      </c>
      <c r="F721">
        <v>12</v>
      </c>
      <c r="G721">
        <v>128</v>
      </c>
      <c r="H721">
        <v>100</v>
      </c>
      <c r="I721">
        <v>50</v>
      </c>
      <c r="J721">
        <v>6.5</v>
      </c>
      <c r="K721" t="s">
        <v>79</v>
      </c>
      <c r="L721" t="s">
        <v>59</v>
      </c>
      <c r="M721" t="s">
        <v>32</v>
      </c>
      <c r="N721" t="s">
        <v>33</v>
      </c>
      <c r="O721" t="s">
        <v>61</v>
      </c>
      <c r="P721" t="s">
        <v>26</v>
      </c>
      <c r="Q721">
        <v>699</v>
      </c>
      <c r="R721">
        <v>580</v>
      </c>
    </row>
    <row r="722" spans="1:18">
      <c r="A722" t="s">
        <v>797</v>
      </c>
      <c r="B722" t="s">
        <v>73</v>
      </c>
      <c r="C722" t="s">
        <v>105</v>
      </c>
      <c r="D722" s="8">
        <v>2020</v>
      </c>
      <c r="E722" s="29">
        <v>6</v>
      </c>
      <c r="F722">
        <v>4</v>
      </c>
      <c r="G722">
        <v>256</v>
      </c>
      <c r="H722">
        <v>84</v>
      </c>
      <c r="I722">
        <v>12</v>
      </c>
      <c r="J722">
        <v>6.4</v>
      </c>
      <c r="K722" t="s">
        <v>75</v>
      </c>
      <c r="L722" t="s">
        <v>22</v>
      </c>
      <c r="M722" t="s">
        <v>32</v>
      </c>
      <c r="N722" t="s">
        <v>24</v>
      </c>
      <c r="O722" t="s">
        <v>25</v>
      </c>
      <c r="P722" t="s">
        <v>35</v>
      </c>
      <c r="Q722">
        <v>899</v>
      </c>
      <c r="R722">
        <v>594</v>
      </c>
    </row>
    <row r="723" spans="1:18">
      <c r="A723" t="s">
        <v>798</v>
      </c>
      <c r="B723" t="s">
        <v>77</v>
      </c>
      <c r="C723" t="s">
        <v>78</v>
      </c>
      <c r="D723" s="8">
        <v>2020</v>
      </c>
      <c r="E723" s="29">
        <v>6</v>
      </c>
      <c r="F723">
        <v>8</v>
      </c>
      <c r="G723">
        <v>128</v>
      </c>
      <c r="H723">
        <v>95</v>
      </c>
      <c r="I723">
        <v>108</v>
      </c>
      <c r="J723">
        <v>6.5</v>
      </c>
      <c r="K723" t="s">
        <v>79</v>
      </c>
      <c r="L723" t="s">
        <v>59</v>
      </c>
      <c r="M723" t="s">
        <v>47</v>
      </c>
      <c r="N723" t="s">
        <v>33</v>
      </c>
      <c r="O723" t="s">
        <v>41</v>
      </c>
      <c r="P723" t="s">
        <v>35</v>
      </c>
      <c r="Q723">
        <v>699</v>
      </c>
      <c r="R723">
        <v>575</v>
      </c>
    </row>
    <row r="724" spans="1:18">
      <c r="A724" t="s">
        <v>799</v>
      </c>
      <c r="B724" t="s">
        <v>44</v>
      </c>
      <c r="C724" t="s">
        <v>45</v>
      </c>
      <c r="D724" s="8">
        <v>2020</v>
      </c>
      <c r="E724" s="29">
        <v>6</v>
      </c>
      <c r="F724">
        <v>8</v>
      </c>
      <c r="G724">
        <v>512</v>
      </c>
      <c r="H724">
        <v>87</v>
      </c>
      <c r="I724">
        <v>64</v>
      </c>
      <c r="J724">
        <v>6.67</v>
      </c>
      <c r="K724" t="s">
        <v>46</v>
      </c>
      <c r="L724" t="s">
        <v>59</v>
      </c>
      <c r="M724" t="s">
        <v>23</v>
      </c>
      <c r="N724" t="s">
        <v>33</v>
      </c>
      <c r="O724" t="s">
        <v>48</v>
      </c>
      <c r="P724" t="s">
        <v>26</v>
      </c>
      <c r="Q724">
        <v>799</v>
      </c>
      <c r="R724">
        <v>726</v>
      </c>
    </row>
    <row r="725" spans="1:18">
      <c r="A725" t="s">
        <v>800</v>
      </c>
      <c r="B725" t="s">
        <v>19</v>
      </c>
      <c r="C725" t="s">
        <v>20</v>
      </c>
      <c r="D725" s="8">
        <v>2023</v>
      </c>
      <c r="E725" s="29">
        <v>3</v>
      </c>
      <c r="F725">
        <v>6</v>
      </c>
      <c r="G725">
        <v>512</v>
      </c>
      <c r="H725">
        <v>86</v>
      </c>
      <c r="I725">
        <v>12</v>
      </c>
      <c r="J725">
        <v>6.78</v>
      </c>
      <c r="K725" t="s">
        <v>21</v>
      </c>
      <c r="L725" t="s">
        <v>59</v>
      </c>
      <c r="M725" t="s">
        <v>40</v>
      </c>
      <c r="N725" t="s">
        <v>24</v>
      </c>
      <c r="O725" t="s">
        <v>48</v>
      </c>
      <c r="P725" t="s">
        <v>35</v>
      </c>
      <c r="Q725">
        <v>599</v>
      </c>
      <c r="R725">
        <v>572</v>
      </c>
    </row>
    <row r="726" spans="1:18">
      <c r="A726" t="s">
        <v>801</v>
      </c>
      <c r="B726" t="s">
        <v>44</v>
      </c>
      <c r="C726" t="s">
        <v>45</v>
      </c>
      <c r="D726" s="8">
        <v>2024</v>
      </c>
      <c r="E726" s="29">
        <v>2</v>
      </c>
      <c r="F726">
        <v>4</v>
      </c>
      <c r="G726">
        <v>512</v>
      </c>
      <c r="H726">
        <v>90</v>
      </c>
      <c r="I726">
        <v>12</v>
      </c>
      <c r="J726">
        <v>6.2</v>
      </c>
      <c r="K726" t="s">
        <v>46</v>
      </c>
      <c r="L726" t="s">
        <v>31</v>
      </c>
      <c r="M726" t="s">
        <v>60</v>
      </c>
      <c r="N726" t="s">
        <v>33</v>
      </c>
      <c r="O726" t="s">
        <v>48</v>
      </c>
      <c r="P726" t="s">
        <v>26</v>
      </c>
      <c r="Q726">
        <v>799</v>
      </c>
      <c r="R726">
        <v>775</v>
      </c>
    </row>
    <row r="727" spans="1:18">
      <c r="A727" t="s">
        <v>802</v>
      </c>
      <c r="B727" t="s">
        <v>73</v>
      </c>
      <c r="C727" t="s">
        <v>122</v>
      </c>
      <c r="D727" s="8">
        <v>2022</v>
      </c>
      <c r="E727" s="29">
        <v>4</v>
      </c>
      <c r="F727">
        <v>6</v>
      </c>
      <c r="G727">
        <v>128</v>
      </c>
      <c r="H727">
        <v>90</v>
      </c>
      <c r="I727">
        <v>108</v>
      </c>
      <c r="J727">
        <v>6.7</v>
      </c>
      <c r="K727" t="s">
        <v>123</v>
      </c>
      <c r="L727" t="s">
        <v>59</v>
      </c>
      <c r="M727" t="s">
        <v>60</v>
      </c>
      <c r="N727" t="s">
        <v>24</v>
      </c>
      <c r="O727" t="s">
        <v>41</v>
      </c>
      <c r="P727" t="s">
        <v>26</v>
      </c>
      <c r="Q727">
        <v>699</v>
      </c>
      <c r="R727">
        <v>553</v>
      </c>
    </row>
    <row r="728" spans="1:18">
      <c r="A728" t="s">
        <v>803</v>
      </c>
      <c r="B728" t="s">
        <v>37</v>
      </c>
      <c r="C728" t="s">
        <v>38</v>
      </c>
      <c r="D728" s="8">
        <v>2024</v>
      </c>
      <c r="E728" s="29">
        <v>2</v>
      </c>
      <c r="F728">
        <v>8</v>
      </c>
      <c r="G728">
        <v>128</v>
      </c>
      <c r="H728">
        <v>88</v>
      </c>
      <c r="I728">
        <v>12</v>
      </c>
      <c r="J728">
        <v>6.4</v>
      </c>
      <c r="K728" t="s">
        <v>39</v>
      </c>
      <c r="L728" t="s">
        <v>59</v>
      </c>
      <c r="M728" t="s">
        <v>40</v>
      </c>
      <c r="N728" t="s">
        <v>24</v>
      </c>
      <c r="O728" t="s">
        <v>84</v>
      </c>
      <c r="P728" t="s">
        <v>26</v>
      </c>
      <c r="Q728">
        <v>599</v>
      </c>
      <c r="R728">
        <v>498</v>
      </c>
    </row>
    <row r="729" spans="1:18">
      <c r="A729" t="s">
        <v>804</v>
      </c>
      <c r="B729" t="s">
        <v>64</v>
      </c>
      <c r="C729" t="s">
        <v>65</v>
      </c>
      <c r="D729" s="8">
        <v>2022</v>
      </c>
      <c r="E729" s="29">
        <v>4</v>
      </c>
      <c r="F729">
        <v>6</v>
      </c>
      <c r="G729">
        <v>256</v>
      </c>
      <c r="H729">
        <v>92</v>
      </c>
      <c r="I729">
        <v>12</v>
      </c>
      <c r="J729">
        <v>6.2</v>
      </c>
      <c r="K729" t="s">
        <v>66</v>
      </c>
      <c r="L729" t="s">
        <v>59</v>
      </c>
      <c r="M729" t="s">
        <v>47</v>
      </c>
      <c r="N729" t="s">
        <v>33</v>
      </c>
      <c r="O729" t="s">
        <v>87</v>
      </c>
      <c r="P729" t="s">
        <v>35</v>
      </c>
      <c r="Q729">
        <v>499</v>
      </c>
      <c r="R729">
        <v>430</v>
      </c>
    </row>
    <row r="730" spans="1:18">
      <c r="A730" t="s">
        <v>805</v>
      </c>
      <c r="B730" t="s">
        <v>19</v>
      </c>
      <c r="C730" t="s">
        <v>20</v>
      </c>
      <c r="D730" s="8">
        <v>2024</v>
      </c>
      <c r="E730" s="29">
        <v>2</v>
      </c>
      <c r="F730">
        <v>6</v>
      </c>
      <c r="G730">
        <v>256</v>
      </c>
      <c r="H730">
        <v>86</v>
      </c>
      <c r="I730">
        <v>108</v>
      </c>
      <c r="J730">
        <v>6.67</v>
      </c>
      <c r="K730" t="s">
        <v>21</v>
      </c>
      <c r="L730" t="s">
        <v>22</v>
      </c>
      <c r="M730" t="s">
        <v>40</v>
      </c>
      <c r="N730" t="s">
        <v>24</v>
      </c>
      <c r="O730" t="s">
        <v>48</v>
      </c>
      <c r="P730" t="s">
        <v>26</v>
      </c>
      <c r="Q730">
        <v>599</v>
      </c>
      <c r="R730">
        <v>474</v>
      </c>
    </row>
    <row r="731" spans="1:18">
      <c r="A731" t="s">
        <v>806</v>
      </c>
      <c r="B731" t="s">
        <v>54</v>
      </c>
      <c r="C731" t="s">
        <v>55</v>
      </c>
      <c r="D731" s="8">
        <v>2020</v>
      </c>
      <c r="E731" s="29">
        <v>6</v>
      </c>
      <c r="F731">
        <v>6</v>
      </c>
      <c r="G731">
        <v>128</v>
      </c>
      <c r="H731">
        <v>81</v>
      </c>
      <c r="I731">
        <v>12</v>
      </c>
      <c r="J731">
        <v>6.78</v>
      </c>
      <c r="K731" t="s">
        <v>56</v>
      </c>
      <c r="L731" t="s">
        <v>59</v>
      </c>
      <c r="M731" t="s">
        <v>60</v>
      </c>
      <c r="N731" t="s">
        <v>24</v>
      </c>
      <c r="O731" t="s">
        <v>84</v>
      </c>
      <c r="P731" t="s">
        <v>26</v>
      </c>
      <c r="Q731">
        <v>549</v>
      </c>
      <c r="R731">
        <v>447</v>
      </c>
    </row>
    <row r="732" spans="1:18">
      <c r="A732" t="s">
        <v>807</v>
      </c>
      <c r="B732" t="s">
        <v>64</v>
      </c>
      <c r="C732" t="s">
        <v>65</v>
      </c>
      <c r="D732" s="8">
        <v>2021</v>
      </c>
      <c r="E732" s="29">
        <v>5</v>
      </c>
      <c r="F732">
        <v>8</v>
      </c>
      <c r="G732">
        <v>512</v>
      </c>
      <c r="H732">
        <v>100</v>
      </c>
      <c r="I732">
        <v>64</v>
      </c>
      <c r="J732">
        <v>6.7</v>
      </c>
      <c r="K732" t="s">
        <v>66</v>
      </c>
      <c r="L732" t="s">
        <v>22</v>
      </c>
      <c r="M732" t="s">
        <v>60</v>
      </c>
      <c r="N732" t="s">
        <v>24</v>
      </c>
      <c r="O732" t="s">
        <v>25</v>
      </c>
      <c r="P732" t="s">
        <v>26</v>
      </c>
      <c r="Q732">
        <v>499</v>
      </c>
      <c r="R732">
        <v>426</v>
      </c>
    </row>
    <row r="733" spans="1:18">
      <c r="A733" t="s">
        <v>808</v>
      </c>
      <c r="B733" t="s">
        <v>64</v>
      </c>
      <c r="C733" t="s">
        <v>65</v>
      </c>
      <c r="D733" s="8">
        <v>2022</v>
      </c>
      <c r="E733" s="29">
        <v>4</v>
      </c>
      <c r="F733">
        <v>8</v>
      </c>
      <c r="G733">
        <v>128</v>
      </c>
      <c r="H733">
        <v>93</v>
      </c>
      <c r="I733">
        <v>12</v>
      </c>
      <c r="J733">
        <v>6.5</v>
      </c>
      <c r="K733" t="s">
        <v>66</v>
      </c>
      <c r="L733" t="s">
        <v>59</v>
      </c>
      <c r="M733" t="s">
        <v>32</v>
      </c>
      <c r="N733" t="s">
        <v>33</v>
      </c>
      <c r="O733" t="s">
        <v>25</v>
      </c>
      <c r="P733" t="s">
        <v>35</v>
      </c>
      <c r="Q733">
        <v>499</v>
      </c>
      <c r="R733">
        <v>445</v>
      </c>
    </row>
    <row r="734" spans="1:18">
      <c r="A734" t="s">
        <v>809</v>
      </c>
      <c r="B734" t="s">
        <v>28</v>
      </c>
      <c r="C734" t="s">
        <v>29</v>
      </c>
      <c r="D734" s="8">
        <v>2020</v>
      </c>
      <c r="E734" s="29">
        <v>6</v>
      </c>
      <c r="F734">
        <v>6</v>
      </c>
      <c r="G734">
        <v>64</v>
      </c>
      <c r="H734">
        <v>83</v>
      </c>
      <c r="I734">
        <v>48</v>
      </c>
      <c r="J734">
        <v>6.4</v>
      </c>
      <c r="K734" t="s">
        <v>30</v>
      </c>
      <c r="L734" t="s">
        <v>59</v>
      </c>
      <c r="M734" t="s">
        <v>47</v>
      </c>
      <c r="N734" t="s">
        <v>33</v>
      </c>
      <c r="O734" t="s">
        <v>25</v>
      </c>
      <c r="P734" t="s">
        <v>35</v>
      </c>
      <c r="Q734">
        <v>599</v>
      </c>
      <c r="R734">
        <v>481</v>
      </c>
    </row>
    <row r="735" spans="1:18">
      <c r="A735" t="s">
        <v>810</v>
      </c>
      <c r="B735" t="s">
        <v>64</v>
      </c>
      <c r="C735" t="s">
        <v>65</v>
      </c>
      <c r="D735" s="8">
        <v>2022</v>
      </c>
      <c r="E735" s="29">
        <v>4</v>
      </c>
      <c r="F735">
        <v>4</v>
      </c>
      <c r="G735">
        <v>64</v>
      </c>
      <c r="H735">
        <v>97</v>
      </c>
      <c r="I735">
        <v>64</v>
      </c>
      <c r="J735">
        <v>6.4</v>
      </c>
      <c r="K735" t="s">
        <v>66</v>
      </c>
      <c r="L735" t="s">
        <v>22</v>
      </c>
      <c r="M735" t="s">
        <v>32</v>
      </c>
      <c r="N735" t="s">
        <v>33</v>
      </c>
      <c r="O735" t="s">
        <v>48</v>
      </c>
      <c r="P735" t="s">
        <v>35</v>
      </c>
      <c r="Q735">
        <v>499</v>
      </c>
      <c r="R735">
        <v>359</v>
      </c>
    </row>
    <row r="736" spans="1:18">
      <c r="A736" t="s">
        <v>811</v>
      </c>
      <c r="B736" t="s">
        <v>89</v>
      </c>
      <c r="C736" t="s">
        <v>90</v>
      </c>
      <c r="D736" s="8">
        <v>2022</v>
      </c>
      <c r="E736" s="29">
        <v>4</v>
      </c>
      <c r="F736">
        <v>4</v>
      </c>
      <c r="G736">
        <v>512</v>
      </c>
      <c r="H736">
        <v>90</v>
      </c>
      <c r="I736">
        <v>64</v>
      </c>
      <c r="J736">
        <v>6.67</v>
      </c>
      <c r="K736" t="s">
        <v>91</v>
      </c>
      <c r="L736" t="s">
        <v>59</v>
      </c>
      <c r="M736" t="s">
        <v>40</v>
      </c>
      <c r="N736" t="s">
        <v>24</v>
      </c>
      <c r="O736" t="s">
        <v>52</v>
      </c>
      <c r="P736" t="s">
        <v>26</v>
      </c>
      <c r="Q736">
        <v>449</v>
      </c>
      <c r="R736">
        <v>439</v>
      </c>
    </row>
    <row r="737" spans="1:18">
      <c r="A737" t="s">
        <v>812</v>
      </c>
      <c r="B737" t="s">
        <v>28</v>
      </c>
      <c r="C737" t="s">
        <v>29</v>
      </c>
      <c r="D737" s="8">
        <v>2023</v>
      </c>
      <c r="E737" s="29">
        <v>3</v>
      </c>
      <c r="F737">
        <v>6</v>
      </c>
      <c r="G737">
        <v>128</v>
      </c>
      <c r="H737">
        <v>75</v>
      </c>
      <c r="I737">
        <v>108</v>
      </c>
      <c r="J737">
        <v>6.78</v>
      </c>
      <c r="K737" t="s">
        <v>30</v>
      </c>
      <c r="L737" t="s">
        <v>59</v>
      </c>
      <c r="M737" t="s">
        <v>32</v>
      </c>
      <c r="N737" t="s">
        <v>24</v>
      </c>
      <c r="O737" t="s">
        <v>48</v>
      </c>
      <c r="P737" t="s">
        <v>26</v>
      </c>
      <c r="Q737">
        <v>599</v>
      </c>
      <c r="R737">
        <v>502</v>
      </c>
    </row>
    <row r="738" spans="1:18">
      <c r="A738" t="s">
        <v>813</v>
      </c>
      <c r="B738" t="s">
        <v>37</v>
      </c>
      <c r="C738" t="s">
        <v>38</v>
      </c>
      <c r="D738" s="8">
        <v>2020</v>
      </c>
      <c r="E738" s="29">
        <v>6</v>
      </c>
      <c r="F738">
        <v>4</v>
      </c>
      <c r="G738">
        <v>256</v>
      </c>
      <c r="H738">
        <v>90</v>
      </c>
      <c r="I738">
        <v>108</v>
      </c>
      <c r="J738">
        <v>6.4</v>
      </c>
      <c r="K738" t="s">
        <v>39</v>
      </c>
      <c r="L738" t="s">
        <v>59</v>
      </c>
      <c r="M738" t="s">
        <v>86</v>
      </c>
      <c r="N738" t="s">
        <v>33</v>
      </c>
      <c r="O738" t="s">
        <v>48</v>
      </c>
      <c r="P738" t="s">
        <v>26</v>
      </c>
      <c r="Q738">
        <v>599</v>
      </c>
      <c r="R738">
        <v>520</v>
      </c>
    </row>
    <row r="739" spans="1:18">
      <c r="A739" t="s">
        <v>814</v>
      </c>
      <c r="B739" t="s">
        <v>28</v>
      </c>
      <c r="C739" t="s">
        <v>29</v>
      </c>
      <c r="D739" s="8">
        <v>2024</v>
      </c>
      <c r="E739" s="29">
        <v>2</v>
      </c>
      <c r="F739">
        <v>6</v>
      </c>
      <c r="G739">
        <v>256</v>
      </c>
      <c r="H739">
        <v>100</v>
      </c>
      <c r="I739">
        <v>108</v>
      </c>
      <c r="J739">
        <v>6.4</v>
      </c>
      <c r="K739" t="s">
        <v>30</v>
      </c>
      <c r="L739" t="s">
        <v>57</v>
      </c>
      <c r="M739" t="s">
        <v>40</v>
      </c>
      <c r="N739" t="s">
        <v>24</v>
      </c>
      <c r="O739" t="s">
        <v>61</v>
      </c>
      <c r="P739" t="s">
        <v>26</v>
      </c>
      <c r="Q739">
        <v>599</v>
      </c>
      <c r="R739">
        <v>366</v>
      </c>
    </row>
    <row r="740" spans="1:18">
      <c r="A740" t="s">
        <v>815</v>
      </c>
      <c r="B740" t="s">
        <v>68</v>
      </c>
      <c r="C740" t="s">
        <v>69</v>
      </c>
      <c r="D740" s="8">
        <v>2020</v>
      </c>
      <c r="E740" s="29">
        <v>6</v>
      </c>
      <c r="F740">
        <v>8</v>
      </c>
      <c r="G740">
        <v>512</v>
      </c>
      <c r="H740">
        <v>81</v>
      </c>
      <c r="I740">
        <v>48</v>
      </c>
      <c r="J740">
        <v>6.67</v>
      </c>
      <c r="K740" t="s">
        <v>70</v>
      </c>
      <c r="L740" t="s">
        <v>59</v>
      </c>
      <c r="M740" t="s">
        <v>86</v>
      </c>
      <c r="N740" t="s">
        <v>24</v>
      </c>
      <c r="O740" t="s">
        <v>25</v>
      </c>
      <c r="P740" t="s">
        <v>26</v>
      </c>
      <c r="Q740">
        <v>399</v>
      </c>
      <c r="R740">
        <v>389</v>
      </c>
    </row>
    <row r="741" spans="1:18">
      <c r="A741" t="s">
        <v>816</v>
      </c>
      <c r="B741" t="s">
        <v>37</v>
      </c>
      <c r="C741" t="s">
        <v>38</v>
      </c>
      <c r="D741" s="8">
        <v>2023</v>
      </c>
      <c r="E741" s="29">
        <v>3</v>
      </c>
      <c r="F741">
        <v>12</v>
      </c>
      <c r="G741">
        <v>512</v>
      </c>
      <c r="H741">
        <v>77</v>
      </c>
      <c r="I741">
        <v>12</v>
      </c>
      <c r="J741">
        <v>6.78</v>
      </c>
      <c r="K741" t="s">
        <v>39</v>
      </c>
      <c r="L741" t="s">
        <v>31</v>
      </c>
      <c r="M741" t="s">
        <v>47</v>
      </c>
      <c r="N741" t="s">
        <v>33</v>
      </c>
      <c r="O741" t="s">
        <v>87</v>
      </c>
      <c r="P741" t="s">
        <v>35</v>
      </c>
      <c r="Q741">
        <v>599</v>
      </c>
      <c r="R741">
        <v>589</v>
      </c>
    </row>
    <row r="742" spans="1:18">
      <c r="A742" t="s">
        <v>817</v>
      </c>
      <c r="B742" t="s">
        <v>68</v>
      </c>
      <c r="C742" t="s">
        <v>81</v>
      </c>
      <c r="D742" s="8">
        <v>2024</v>
      </c>
      <c r="E742" s="29">
        <v>2</v>
      </c>
      <c r="F742">
        <v>4</v>
      </c>
      <c r="G742">
        <v>512</v>
      </c>
      <c r="H742">
        <v>87</v>
      </c>
      <c r="I742">
        <v>108</v>
      </c>
      <c r="J742">
        <v>6.4</v>
      </c>
      <c r="K742" t="s">
        <v>82</v>
      </c>
      <c r="L742" t="s">
        <v>31</v>
      </c>
      <c r="M742" t="s">
        <v>47</v>
      </c>
      <c r="N742" t="s">
        <v>24</v>
      </c>
      <c r="O742" t="s">
        <v>34</v>
      </c>
      <c r="P742" t="s">
        <v>35</v>
      </c>
      <c r="Q742">
        <v>299</v>
      </c>
      <c r="R742">
        <v>289</v>
      </c>
    </row>
    <row r="743" spans="1:18">
      <c r="A743" t="s">
        <v>818</v>
      </c>
      <c r="B743" t="s">
        <v>54</v>
      </c>
      <c r="C743" t="s">
        <v>55</v>
      </c>
      <c r="D743" s="8">
        <v>2020</v>
      </c>
      <c r="E743" s="29">
        <v>6</v>
      </c>
      <c r="F743">
        <v>6</v>
      </c>
      <c r="G743">
        <v>512</v>
      </c>
      <c r="H743">
        <v>87</v>
      </c>
      <c r="I743">
        <v>50</v>
      </c>
      <c r="J743">
        <v>6.5</v>
      </c>
      <c r="K743" t="s">
        <v>56</v>
      </c>
      <c r="L743" t="s">
        <v>22</v>
      </c>
      <c r="M743" t="s">
        <v>47</v>
      </c>
      <c r="N743" t="s">
        <v>33</v>
      </c>
      <c r="O743" t="s">
        <v>25</v>
      </c>
      <c r="P743" t="s">
        <v>26</v>
      </c>
      <c r="Q743">
        <v>549</v>
      </c>
      <c r="R743">
        <v>452</v>
      </c>
    </row>
    <row r="744" spans="1:18">
      <c r="A744" t="s">
        <v>819</v>
      </c>
      <c r="B744" t="s">
        <v>37</v>
      </c>
      <c r="C744" t="s">
        <v>38</v>
      </c>
      <c r="D744" s="8">
        <v>2021</v>
      </c>
      <c r="E744" s="29">
        <v>5</v>
      </c>
      <c r="F744">
        <v>6</v>
      </c>
      <c r="G744">
        <v>128</v>
      </c>
      <c r="H744">
        <v>97</v>
      </c>
      <c r="I744">
        <v>108</v>
      </c>
      <c r="J744">
        <v>6.78</v>
      </c>
      <c r="K744" t="s">
        <v>39</v>
      </c>
      <c r="L744" t="s">
        <v>22</v>
      </c>
      <c r="M744" t="s">
        <v>32</v>
      </c>
      <c r="N744" t="s">
        <v>24</v>
      </c>
      <c r="O744" t="s">
        <v>48</v>
      </c>
      <c r="P744" t="s">
        <v>26</v>
      </c>
      <c r="Q744">
        <v>599</v>
      </c>
      <c r="R744">
        <v>405</v>
      </c>
    </row>
    <row r="745" spans="1:18">
      <c r="A745" t="s">
        <v>820</v>
      </c>
      <c r="B745" t="s">
        <v>64</v>
      </c>
      <c r="C745" t="s">
        <v>65</v>
      </c>
      <c r="D745" s="8">
        <v>2021</v>
      </c>
      <c r="E745" s="29">
        <v>5</v>
      </c>
      <c r="F745">
        <v>4</v>
      </c>
      <c r="G745">
        <v>128</v>
      </c>
      <c r="H745">
        <v>84</v>
      </c>
      <c r="I745">
        <v>12</v>
      </c>
      <c r="J745">
        <v>6.2</v>
      </c>
      <c r="K745" t="s">
        <v>66</v>
      </c>
      <c r="L745" t="s">
        <v>31</v>
      </c>
      <c r="M745" t="s">
        <v>40</v>
      </c>
      <c r="N745" t="s">
        <v>33</v>
      </c>
      <c r="O745" t="s">
        <v>34</v>
      </c>
      <c r="P745" t="s">
        <v>26</v>
      </c>
      <c r="Q745">
        <v>499</v>
      </c>
      <c r="R745">
        <v>459</v>
      </c>
    </row>
    <row r="746" spans="1:18">
      <c r="A746" t="s">
        <v>821</v>
      </c>
      <c r="B746" t="s">
        <v>37</v>
      </c>
      <c r="C746" t="s">
        <v>38</v>
      </c>
      <c r="D746" s="8">
        <v>2021</v>
      </c>
      <c r="E746" s="29">
        <v>5</v>
      </c>
      <c r="F746">
        <v>4</v>
      </c>
      <c r="G746">
        <v>64</v>
      </c>
      <c r="H746">
        <v>95</v>
      </c>
      <c r="I746">
        <v>48</v>
      </c>
      <c r="J746">
        <v>6.1</v>
      </c>
      <c r="K746" t="s">
        <v>39</v>
      </c>
      <c r="L746" t="s">
        <v>59</v>
      </c>
      <c r="M746" t="s">
        <v>86</v>
      </c>
      <c r="N746" t="s">
        <v>33</v>
      </c>
      <c r="O746" t="s">
        <v>41</v>
      </c>
      <c r="P746" t="s">
        <v>26</v>
      </c>
      <c r="Q746">
        <v>599</v>
      </c>
      <c r="R746">
        <v>517</v>
      </c>
    </row>
    <row r="747" spans="1:18">
      <c r="A747" t="s">
        <v>822</v>
      </c>
      <c r="B747" t="s">
        <v>44</v>
      </c>
      <c r="C747" t="s">
        <v>45</v>
      </c>
      <c r="D747" s="8">
        <v>2023</v>
      </c>
      <c r="E747" s="29">
        <v>3</v>
      </c>
      <c r="F747">
        <v>6</v>
      </c>
      <c r="G747">
        <v>512</v>
      </c>
      <c r="H747">
        <v>94</v>
      </c>
      <c r="I747">
        <v>64</v>
      </c>
      <c r="J747">
        <v>6.78</v>
      </c>
      <c r="K747" t="s">
        <v>46</v>
      </c>
      <c r="L747" t="s">
        <v>59</v>
      </c>
      <c r="M747" t="s">
        <v>40</v>
      </c>
      <c r="N747" t="s">
        <v>33</v>
      </c>
      <c r="O747" t="s">
        <v>84</v>
      </c>
      <c r="P747" t="s">
        <v>35</v>
      </c>
      <c r="Q747">
        <v>799</v>
      </c>
      <c r="R747">
        <v>748</v>
      </c>
    </row>
    <row r="748" spans="1:18">
      <c r="A748" t="s">
        <v>823</v>
      </c>
      <c r="B748" t="s">
        <v>73</v>
      </c>
      <c r="C748" t="s">
        <v>105</v>
      </c>
      <c r="D748" s="8">
        <v>2020</v>
      </c>
      <c r="E748" s="29">
        <v>6</v>
      </c>
      <c r="F748">
        <v>6</v>
      </c>
      <c r="G748">
        <v>256</v>
      </c>
      <c r="H748">
        <v>92</v>
      </c>
      <c r="I748">
        <v>108</v>
      </c>
      <c r="J748">
        <v>6.7</v>
      </c>
      <c r="K748" t="s">
        <v>75</v>
      </c>
      <c r="L748" t="s">
        <v>22</v>
      </c>
      <c r="M748" t="s">
        <v>60</v>
      </c>
      <c r="N748" t="s">
        <v>24</v>
      </c>
      <c r="O748" t="s">
        <v>84</v>
      </c>
      <c r="P748" t="s">
        <v>26</v>
      </c>
      <c r="Q748">
        <v>899</v>
      </c>
      <c r="R748">
        <v>607</v>
      </c>
    </row>
    <row r="749" spans="1:18">
      <c r="A749" t="s">
        <v>824</v>
      </c>
      <c r="B749" t="s">
        <v>28</v>
      </c>
      <c r="C749" t="s">
        <v>29</v>
      </c>
      <c r="D749" s="8">
        <v>2021</v>
      </c>
      <c r="E749" s="29">
        <v>5</v>
      </c>
      <c r="F749">
        <v>12</v>
      </c>
      <c r="G749">
        <v>64</v>
      </c>
      <c r="H749">
        <v>78</v>
      </c>
      <c r="I749">
        <v>48</v>
      </c>
      <c r="J749">
        <v>6.4</v>
      </c>
      <c r="K749" t="s">
        <v>30</v>
      </c>
      <c r="L749" t="s">
        <v>59</v>
      </c>
      <c r="M749" t="s">
        <v>23</v>
      </c>
      <c r="N749" t="s">
        <v>33</v>
      </c>
      <c r="O749" t="s">
        <v>48</v>
      </c>
      <c r="P749" t="s">
        <v>35</v>
      </c>
      <c r="Q749">
        <v>599</v>
      </c>
      <c r="R749">
        <v>494</v>
      </c>
    </row>
    <row r="750" spans="1:18">
      <c r="A750" t="s">
        <v>825</v>
      </c>
      <c r="B750" t="s">
        <v>54</v>
      </c>
      <c r="C750" t="s">
        <v>55</v>
      </c>
      <c r="D750" s="8">
        <v>2021</v>
      </c>
      <c r="E750" s="29">
        <v>5</v>
      </c>
      <c r="F750">
        <v>6</v>
      </c>
      <c r="G750">
        <v>256</v>
      </c>
      <c r="H750">
        <v>94</v>
      </c>
      <c r="I750">
        <v>50</v>
      </c>
      <c r="J750">
        <v>6.7</v>
      </c>
      <c r="K750" t="s">
        <v>56</v>
      </c>
      <c r="L750" t="s">
        <v>31</v>
      </c>
      <c r="M750" t="s">
        <v>32</v>
      </c>
      <c r="N750" t="s">
        <v>24</v>
      </c>
      <c r="O750" t="s">
        <v>25</v>
      </c>
      <c r="P750" t="s">
        <v>26</v>
      </c>
      <c r="Q750">
        <v>549</v>
      </c>
      <c r="R750">
        <v>539</v>
      </c>
    </row>
    <row r="751" spans="1:18">
      <c r="A751" t="s">
        <v>826</v>
      </c>
      <c r="B751" t="s">
        <v>28</v>
      </c>
      <c r="C751" t="s">
        <v>29</v>
      </c>
      <c r="D751" s="8">
        <v>2022</v>
      </c>
      <c r="E751" s="29">
        <v>4</v>
      </c>
      <c r="F751">
        <v>12</v>
      </c>
      <c r="G751">
        <v>512</v>
      </c>
      <c r="H751">
        <v>84</v>
      </c>
      <c r="I751">
        <v>50</v>
      </c>
      <c r="J751">
        <v>6.7</v>
      </c>
      <c r="K751" t="s">
        <v>30</v>
      </c>
      <c r="L751" t="s">
        <v>59</v>
      </c>
      <c r="M751" t="s">
        <v>23</v>
      </c>
      <c r="N751" t="s">
        <v>33</v>
      </c>
      <c r="O751" t="s">
        <v>87</v>
      </c>
      <c r="P751" t="s">
        <v>26</v>
      </c>
      <c r="Q751">
        <v>599</v>
      </c>
      <c r="R751">
        <v>589</v>
      </c>
    </row>
    <row r="752" spans="1:18">
      <c r="A752" t="s">
        <v>827</v>
      </c>
      <c r="B752" t="s">
        <v>77</v>
      </c>
      <c r="C752" t="s">
        <v>78</v>
      </c>
      <c r="D752" s="8">
        <v>2021</v>
      </c>
      <c r="E752" s="29">
        <v>5</v>
      </c>
      <c r="F752">
        <v>8</v>
      </c>
      <c r="G752">
        <v>512</v>
      </c>
      <c r="H752">
        <v>95</v>
      </c>
      <c r="I752">
        <v>108</v>
      </c>
      <c r="J752">
        <v>6.5</v>
      </c>
      <c r="K752" t="s">
        <v>79</v>
      </c>
      <c r="L752" t="s">
        <v>22</v>
      </c>
      <c r="M752" t="s">
        <v>60</v>
      </c>
      <c r="N752" t="s">
        <v>33</v>
      </c>
      <c r="O752" t="s">
        <v>41</v>
      </c>
      <c r="P752" t="s">
        <v>26</v>
      </c>
      <c r="Q752">
        <v>699</v>
      </c>
      <c r="R752">
        <v>541</v>
      </c>
    </row>
    <row r="753" spans="1:18">
      <c r="A753" t="s">
        <v>828</v>
      </c>
      <c r="B753" t="s">
        <v>54</v>
      </c>
      <c r="C753" t="s">
        <v>55</v>
      </c>
      <c r="D753" s="8">
        <v>2022</v>
      </c>
      <c r="E753" s="29">
        <v>4</v>
      </c>
      <c r="F753">
        <v>12</v>
      </c>
      <c r="G753">
        <v>512</v>
      </c>
      <c r="H753">
        <v>91</v>
      </c>
      <c r="I753">
        <v>50</v>
      </c>
      <c r="J753">
        <v>6.7</v>
      </c>
      <c r="K753" t="s">
        <v>56</v>
      </c>
      <c r="L753" t="s">
        <v>59</v>
      </c>
      <c r="M753" t="s">
        <v>32</v>
      </c>
      <c r="N753" t="s">
        <v>33</v>
      </c>
      <c r="O753" t="s">
        <v>52</v>
      </c>
      <c r="P753" t="s">
        <v>26</v>
      </c>
      <c r="Q753">
        <v>549</v>
      </c>
      <c r="R753">
        <v>539</v>
      </c>
    </row>
    <row r="754" spans="1:18">
      <c r="A754" t="s">
        <v>829</v>
      </c>
      <c r="B754" t="s">
        <v>19</v>
      </c>
      <c r="C754" t="s">
        <v>20</v>
      </c>
      <c r="D754" s="8">
        <v>2021</v>
      </c>
      <c r="E754" s="29">
        <v>5</v>
      </c>
      <c r="F754">
        <v>8</v>
      </c>
      <c r="G754">
        <v>256</v>
      </c>
      <c r="H754">
        <v>87</v>
      </c>
      <c r="I754">
        <v>48</v>
      </c>
      <c r="J754">
        <v>6.1</v>
      </c>
      <c r="K754" t="s">
        <v>21</v>
      </c>
      <c r="L754" t="s">
        <v>22</v>
      </c>
      <c r="M754" t="s">
        <v>86</v>
      </c>
      <c r="N754" t="s">
        <v>33</v>
      </c>
      <c r="O754" t="s">
        <v>34</v>
      </c>
      <c r="P754" t="s">
        <v>35</v>
      </c>
      <c r="Q754">
        <v>599</v>
      </c>
      <c r="R754">
        <v>441</v>
      </c>
    </row>
    <row r="755" spans="1:18">
      <c r="A755" t="s">
        <v>830</v>
      </c>
      <c r="B755" t="s">
        <v>54</v>
      </c>
      <c r="C755" t="s">
        <v>55</v>
      </c>
      <c r="D755" s="8">
        <v>2022</v>
      </c>
      <c r="E755" s="29">
        <v>4</v>
      </c>
      <c r="F755">
        <v>12</v>
      </c>
      <c r="G755">
        <v>256</v>
      </c>
      <c r="H755">
        <v>92</v>
      </c>
      <c r="I755">
        <v>64</v>
      </c>
      <c r="J755">
        <v>6.1</v>
      </c>
      <c r="K755" t="s">
        <v>56</v>
      </c>
      <c r="L755" t="s">
        <v>59</v>
      </c>
      <c r="M755" t="s">
        <v>32</v>
      </c>
      <c r="N755" t="s">
        <v>24</v>
      </c>
      <c r="O755" t="s">
        <v>52</v>
      </c>
      <c r="P755" t="s">
        <v>26</v>
      </c>
      <c r="Q755">
        <v>549</v>
      </c>
      <c r="R755">
        <v>539</v>
      </c>
    </row>
    <row r="756" spans="1:18">
      <c r="A756" t="s">
        <v>831</v>
      </c>
      <c r="B756" t="s">
        <v>28</v>
      </c>
      <c r="C756" t="s">
        <v>29</v>
      </c>
      <c r="D756" s="8">
        <v>2023</v>
      </c>
      <c r="E756" s="29">
        <v>3</v>
      </c>
      <c r="F756">
        <v>6</v>
      </c>
      <c r="G756">
        <v>128</v>
      </c>
      <c r="H756">
        <v>75</v>
      </c>
      <c r="I756">
        <v>64</v>
      </c>
      <c r="J756">
        <v>6.2</v>
      </c>
      <c r="K756" t="s">
        <v>30</v>
      </c>
      <c r="L756" t="s">
        <v>22</v>
      </c>
      <c r="M756" t="s">
        <v>40</v>
      </c>
      <c r="N756" t="s">
        <v>33</v>
      </c>
      <c r="O756" t="s">
        <v>48</v>
      </c>
      <c r="P756" t="s">
        <v>35</v>
      </c>
      <c r="Q756">
        <v>599</v>
      </c>
      <c r="R756">
        <v>433</v>
      </c>
    </row>
    <row r="757" spans="1:18">
      <c r="A757" t="s">
        <v>832</v>
      </c>
      <c r="B757" t="s">
        <v>44</v>
      </c>
      <c r="C757" t="s">
        <v>45</v>
      </c>
      <c r="D757" s="8">
        <v>2022</v>
      </c>
      <c r="E757" s="29">
        <v>4</v>
      </c>
      <c r="F757">
        <v>4</v>
      </c>
      <c r="G757">
        <v>128</v>
      </c>
      <c r="H757">
        <v>99</v>
      </c>
      <c r="I757">
        <v>64</v>
      </c>
      <c r="J757">
        <v>6.4</v>
      </c>
      <c r="K757" t="s">
        <v>46</v>
      </c>
      <c r="L757" t="s">
        <v>59</v>
      </c>
      <c r="M757" t="s">
        <v>32</v>
      </c>
      <c r="N757" t="s">
        <v>33</v>
      </c>
      <c r="O757" t="s">
        <v>87</v>
      </c>
      <c r="P757" t="s">
        <v>35</v>
      </c>
      <c r="Q757">
        <v>799</v>
      </c>
      <c r="R757">
        <v>636</v>
      </c>
    </row>
    <row r="758" spans="1:18">
      <c r="A758" t="s">
        <v>833</v>
      </c>
      <c r="B758" t="s">
        <v>44</v>
      </c>
      <c r="C758" t="s">
        <v>45</v>
      </c>
      <c r="D758" s="8">
        <v>2020</v>
      </c>
      <c r="E758" s="29">
        <v>6</v>
      </c>
      <c r="F758">
        <v>8</v>
      </c>
      <c r="G758">
        <v>64</v>
      </c>
      <c r="H758">
        <v>81</v>
      </c>
      <c r="I758">
        <v>48</v>
      </c>
      <c r="J758">
        <v>6.78</v>
      </c>
      <c r="K758" t="s">
        <v>46</v>
      </c>
      <c r="L758" t="s">
        <v>31</v>
      </c>
      <c r="M758" t="s">
        <v>23</v>
      </c>
      <c r="N758" t="s">
        <v>24</v>
      </c>
      <c r="O758" t="s">
        <v>34</v>
      </c>
      <c r="P758" t="s">
        <v>26</v>
      </c>
      <c r="Q758">
        <v>799</v>
      </c>
      <c r="R758">
        <v>717</v>
      </c>
    </row>
    <row r="759" spans="1:18">
      <c r="A759" t="s">
        <v>834</v>
      </c>
      <c r="B759" t="s">
        <v>89</v>
      </c>
      <c r="C759" t="s">
        <v>90</v>
      </c>
      <c r="D759" s="8">
        <v>2021</v>
      </c>
      <c r="E759" s="29">
        <v>5</v>
      </c>
      <c r="F759">
        <v>6</v>
      </c>
      <c r="G759">
        <v>256</v>
      </c>
      <c r="H759">
        <v>89</v>
      </c>
      <c r="I759">
        <v>64</v>
      </c>
      <c r="J759">
        <v>6.78</v>
      </c>
      <c r="K759" t="s">
        <v>91</v>
      </c>
      <c r="L759" t="s">
        <v>22</v>
      </c>
      <c r="M759" t="s">
        <v>86</v>
      </c>
      <c r="N759" t="s">
        <v>33</v>
      </c>
      <c r="O759" t="s">
        <v>52</v>
      </c>
      <c r="P759" t="s">
        <v>35</v>
      </c>
      <c r="Q759">
        <v>449</v>
      </c>
      <c r="R759">
        <v>347</v>
      </c>
    </row>
    <row r="760" spans="1:18">
      <c r="A760" t="s">
        <v>835</v>
      </c>
      <c r="B760" t="s">
        <v>28</v>
      </c>
      <c r="C760" t="s">
        <v>29</v>
      </c>
      <c r="D760" s="8">
        <v>2020</v>
      </c>
      <c r="E760" s="29">
        <v>6</v>
      </c>
      <c r="F760">
        <v>6</v>
      </c>
      <c r="G760">
        <v>512</v>
      </c>
      <c r="H760">
        <v>75</v>
      </c>
      <c r="I760">
        <v>108</v>
      </c>
      <c r="J760">
        <v>6.1</v>
      </c>
      <c r="K760" t="s">
        <v>30</v>
      </c>
      <c r="L760" t="s">
        <v>22</v>
      </c>
      <c r="M760" t="s">
        <v>40</v>
      </c>
      <c r="N760" t="s">
        <v>33</v>
      </c>
      <c r="O760" t="s">
        <v>87</v>
      </c>
      <c r="P760" t="s">
        <v>26</v>
      </c>
      <c r="Q760">
        <v>599</v>
      </c>
      <c r="R760">
        <v>507</v>
      </c>
    </row>
    <row r="761" spans="1:18">
      <c r="A761" t="s">
        <v>836</v>
      </c>
      <c r="B761" t="s">
        <v>64</v>
      </c>
      <c r="C761" t="s">
        <v>65</v>
      </c>
      <c r="D761" s="8">
        <v>2020</v>
      </c>
      <c r="E761" s="29">
        <v>6</v>
      </c>
      <c r="F761">
        <v>4</v>
      </c>
      <c r="G761">
        <v>256</v>
      </c>
      <c r="H761">
        <v>87</v>
      </c>
      <c r="I761">
        <v>12</v>
      </c>
      <c r="J761">
        <v>6.7</v>
      </c>
      <c r="K761" t="s">
        <v>66</v>
      </c>
      <c r="L761" t="s">
        <v>22</v>
      </c>
      <c r="M761" t="s">
        <v>60</v>
      </c>
      <c r="N761" t="s">
        <v>24</v>
      </c>
      <c r="O761" t="s">
        <v>61</v>
      </c>
      <c r="P761" t="s">
        <v>26</v>
      </c>
      <c r="Q761">
        <v>499</v>
      </c>
      <c r="R761">
        <v>351</v>
      </c>
    </row>
    <row r="762" spans="1:18">
      <c r="A762" t="s">
        <v>837</v>
      </c>
      <c r="B762" t="s">
        <v>73</v>
      </c>
      <c r="C762" t="s">
        <v>74</v>
      </c>
      <c r="D762" s="8">
        <v>2021</v>
      </c>
      <c r="E762" s="29">
        <v>5</v>
      </c>
      <c r="F762">
        <v>4</v>
      </c>
      <c r="G762">
        <v>128</v>
      </c>
      <c r="H762">
        <v>89</v>
      </c>
      <c r="I762">
        <v>12</v>
      </c>
      <c r="J762">
        <v>6.4</v>
      </c>
      <c r="K762" t="s">
        <v>75</v>
      </c>
      <c r="L762" t="s">
        <v>22</v>
      </c>
      <c r="M762" t="s">
        <v>40</v>
      </c>
      <c r="N762" t="s">
        <v>33</v>
      </c>
      <c r="O762" t="s">
        <v>52</v>
      </c>
      <c r="P762" t="s">
        <v>35</v>
      </c>
      <c r="Q762">
        <v>799</v>
      </c>
      <c r="R762">
        <v>518</v>
      </c>
    </row>
    <row r="763" spans="1:18">
      <c r="A763" t="s">
        <v>838</v>
      </c>
      <c r="B763" t="s">
        <v>28</v>
      </c>
      <c r="C763" t="s">
        <v>29</v>
      </c>
      <c r="D763" s="8">
        <v>2022</v>
      </c>
      <c r="E763" s="29">
        <v>4</v>
      </c>
      <c r="F763">
        <v>12</v>
      </c>
      <c r="G763">
        <v>64</v>
      </c>
      <c r="H763">
        <v>99</v>
      </c>
      <c r="I763">
        <v>64</v>
      </c>
      <c r="J763">
        <v>6.78</v>
      </c>
      <c r="K763" t="s">
        <v>30</v>
      </c>
      <c r="L763" t="s">
        <v>59</v>
      </c>
      <c r="M763" t="s">
        <v>23</v>
      </c>
      <c r="N763" t="s">
        <v>24</v>
      </c>
      <c r="O763" t="s">
        <v>48</v>
      </c>
      <c r="P763" t="s">
        <v>26</v>
      </c>
      <c r="Q763">
        <v>599</v>
      </c>
      <c r="R763">
        <v>505</v>
      </c>
    </row>
    <row r="764" spans="1:18">
      <c r="A764" t="s">
        <v>839</v>
      </c>
      <c r="B764" t="s">
        <v>77</v>
      </c>
      <c r="C764" t="s">
        <v>78</v>
      </c>
      <c r="D764" s="8">
        <v>2024</v>
      </c>
      <c r="E764" s="29">
        <v>2</v>
      </c>
      <c r="F764">
        <v>6</v>
      </c>
      <c r="G764">
        <v>64</v>
      </c>
      <c r="H764">
        <v>82</v>
      </c>
      <c r="I764">
        <v>50</v>
      </c>
      <c r="J764">
        <v>6.5</v>
      </c>
      <c r="K764" t="s">
        <v>79</v>
      </c>
      <c r="L764" t="s">
        <v>22</v>
      </c>
      <c r="M764" t="s">
        <v>86</v>
      </c>
      <c r="N764" t="s">
        <v>33</v>
      </c>
      <c r="O764" t="s">
        <v>34</v>
      </c>
      <c r="P764" t="s">
        <v>35</v>
      </c>
      <c r="Q764">
        <v>699</v>
      </c>
      <c r="R764">
        <v>488</v>
      </c>
    </row>
    <row r="765" spans="1:18">
      <c r="A765" t="s">
        <v>840</v>
      </c>
      <c r="B765" t="s">
        <v>54</v>
      </c>
      <c r="C765" t="s">
        <v>55</v>
      </c>
      <c r="D765" s="8">
        <v>2022</v>
      </c>
      <c r="E765" s="29">
        <v>4</v>
      </c>
      <c r="F765">
        <v>4</v>
      </c>
      <c r="G765">
        <v>64</v>
      </c>
      <c r="H765">
        <v>83</v>
      </c>
      <c r="I765">
        <v>108</v>
      </c>
      <c r="J765">
        <v>6.1</v>
      </c>
      <c r="K765" t="s">
        <v>56</v>
      </c>
      <c r="L765" t="s">
        <v>59</v>
      </c>
      <c r="M765" t="s">
        <v>86</v>
      </c>
      <c r="N765" t="s">
        <v>33</v>
      </c>
      <c r="O765" t="s">
        <v>61</v>
      </c>
      <c r="P765" t="s">
        <v>26</v>
      </c>
      <c r="Q765">
        <v>549</v>
      </c>
      <c r="R765">
        <v>479</v>
      </c>
    </row>
    <row r="766" spans="1:18">
      <c r="A766" t="s">
        <v>841</v>
      </c>
      <c r="B766" t="s">
        <v>68</v>
      </c>
      <c r="C766" t="s">
        <v>69</v>
      </c>
      <c r="D766" s="8">
        <v>2020</v>
      </c>
      <c r="E766" s="29">
        <v>6</v>
      </c>
      <c r="F766">
        <v>6</v>
      </c>
      <c r="G766">
        <v>64</v>
      </c>
      <c r="H766">
        <v>76</v>
      </c>
      <c r="I766">
        <v>64</v>
      </c>
      <c r="J766">
        <v>6.1</v>
      </c>
      <c r="K766" t="s">
        <v>70</v>
      </c>
      <c r="L766" t="s">
        <v>31</v>
      </c>
      <c r="M766" t="s">
        <v>23</v>
      </c>
      <c r="N766" t="s">
        <v>33</v>
      </c>
      <c r="O766" t="s">
        <v>41</v>
      </c>
      <c r="P766" t="s">
        <v>26</v>
      </c>
      <c r="Q766">
        <v>399</v>
      </c>
      <c r="R766">
        <v>374</v>
      </c>
    </row>
    <row r="767" spans="1:18">
      <c r="A767" t="s">
        <v>842</v>
      </c>
      <c r="B767" t="s">
        <v>73</v>
      </c>
      <c r="C767" t="s">
        <v>105</v>
      </c>
      <c r="D767" s="8">
        <v>2023</v>
      </c>
      <c r="E767" s="29">
        <v>3</v>
      </c>
      <c r="F767">
        <v>6</v>
      </c>
      <c r="G767">
        <v>128</v>
      </c>
      <c r="H767">
        <v>85</v>
      </c>
      <c r="I767">
        <v>12</v>
      </c>
      <c r="J767">
        <v>6.7</v>
      </c>
      <c r="K767" t="s">
        <v>75</v>
      </c>
      <c r="L767" t="s">
        <v>59</v>
      </c>
      <c r="M767" t="s">
        <v>86</v>
      </c>
      <c r="N767" t="s">
        <v>33</v>
      </c>
      <c r="O767" t="s">
        <v>34</v>
      </c>
      <c r="P767" t="s">
        <v>26</v>
      </c>
      <c r="Q767">
        <v>899</v>
      </c>
      <c r="R767">
        <v>725</v>
      </c>
    </row>
    <row r="768" spans="1:18">
      <c r="A768" t="s">
        <v>843</v>
      </c>
      <c r="B768" t="s">
        <v>68</v>
      </c>
      <c r="C768" t="s">
        <v>81</v>
      </c>
      <c r="D768" s="8">
        <v>2020</v>
      </c>
      <c r="E768" s="29">
        <v>6</v>
      </c>
      <c r="F768">
        <v>4</v>
      </c>
      <c r="G768">
        <v>64</v>
      </c>
      <c r="H768">
        <v>88</v>
      </c>
      <c r="I768">
        <v>48</v>
      </c>
      <c r="J768">
        <v>6.4</v>
      </c>
      <c r="K768" t="s">
        <v>82</v>
      </c>
      <c r="L768" t="s">
        <v>31</v>
      </c>
      <c r="M768" t="s">
        <v>40</v>
      </c>
      <c r="N768" t="s">
        <v>24</v>
      </c>
      <c r="O768" t="s">
        <v>61</v>
      </c>
      <c r="P768" t="s">
        <v>26</v>
      </c>
      <c r="Q768">
        <v>299</v>
      </c>
      <c r="R768">
        <v>272</v>
      </c>
    </row>
    <row r="769" spans="1:18">
      <c r="A769" t="s">
        <v>844</v>
      </c>
      <c r="B769" t="s">
        <v>54</v>
      </c>
      <c r="C769" t="s">
        <v>55</v>
      </c>
      <c r="D769" s="8">
        <v>2021</v>
      </c>
      <c r="E769" s="29">
        <v>5</v>
      </c>
      <c r="F769">
        <v>8</v>
      </c>
      <c r="G769">
        <v>512</v>
      </c>
      <c r="H769">
        <v>75</v>
      </c>
      <c r="I769">
        <v>48</v>
      </c>
      <c r="J769">
        <v>6.2</v>
      </c>
      <c r="K769" t="s">
        <v>56</v>
      </c>
      <c r="L769" t="s">
        <v>59</v>
      </c>
      <c r="M769" t="s">
        <v>60</v>
      </c>
      <c r="N769" t="s">
        <v>33</v>
      </c>
      <c r="O769" t="s">
        <v>34</v>
      </c>
      <c r="P769" t="s">
        <v>26</v>
      </c>
      <c r="Q769">
        <v>549</v>
      </c>
      <c r="R769">
        <v>539</v>
      </c>
    </row>
    <row r="770" spans="1:18">
      <c r="A770" t="s">
        <v>845</v>
      </c>
      <c r="B770" t="s">
        <v>28</v>
      </c>
      <c r="C770" t="s">
        <v>29</v>
      </c>
      <c r="D770" s="8">
        <v>2021</v>
      </c>
      <c r="E770" s="29">
        <v>5</v>
      </c>
      <c r="F770">
        <v>12</v>
      </c>
      <c r="G770">
        <v>256</v>
      </c>
      <c r="H770">
        <v>78</v>
      </c>
      <c r="I770">
        <v>50</v>
      </c>
      <c r="J770">
        <v>6.4</v>
      </c>
      <c r="K770" t="s">
        <v>30</v>
      </c>
      <c r="L770" t="s">
        <v>59</v>
      </c>
      <c r="M770" t="s">
        <v>40</v>
      </c>
      <c r="N770" t="s">
        <v>33</v>
      </c>
      <c r="O770" t="s">
        <v>48</v>
      </c>
      <c r="P770" t="s">
        <v>35</v>
      </c>
      <c r="Q770">
        <v>599</v>
      </c>
      <c r="R770">
        <v>557</v>
      </c>
    </row>
    <row r="771" spans="1:18">
      <c r="A771" t="s">
        <v>846</v>
      </c>
      <c r="B771" t="s">
        <v>19</v>
      </c>
      <c r="C771" t="s">
        <v>20</v>
      </c>
      <c r="D771" s="8">
        <v>2020</v>
      </c>
      <c r="E771" s="29">
        <v>6</v>
      </c>
      <c r="F771">
        <v>4</v>
      </c>
      <c r="G771">
        <v>64</v>
      </c>
      <c r="H771">
        <v>83</v>
      </c>
      <c r="I771">
        <v>64</v>
      </c>
      <c r="J771">
        <v>6.2</v>
      </c>
      <c r="K771" t="s">
        <v>21</v>
      </c>
      <c r="L771" t="s">
        <v>31</v>
      </c>
      <c r="M771" t="s">
        <v>86</v>
      </c>
      <c r="N771" t="s">
        <v>33</v>
      </c>
      <c r="O771" t="s">
        <v>52</v>
      </c>
      <c r="P771" t="s">
        <v>35</v>
      </c>
      <c r="Q771">
        <v>599</v>
      </c>
      <c r="R771">
        <v>554</v>
      </c>
    </row>
    <row r="772" spans="1:18">
      <c r="A772" t="s">
        <v>847</v>
      </c>
      <c r="B772" t="s">
        <v>54</v>
      </c>
      <c r="C772" t="s">
        <v>55</v>
      </c>
      <c r="D772" s="8">
        <v>2024</v>
      </c>
      <c r="E772" s="29">
        <v>2</v>
      </c>
      <c r="F772">
        <v>12</v>
      </c>
      <c r="G772">
        <v>512</v>
      </c>
      <c r="H772">
        <v>88</v>
      </c>
      <c r="I772">
        <v>12</v>
      </c>
      <c r="J772">
        <v>6.67</v>
      </c>
      <c r="K772" t="s">
        <v>56</v>
      </c>
      <c r="L772" t="s">
        <v>57</v>
      </c>
      <c r="M772" t="s">
        <v>86</v>
      </c>
      <c r="N772" t="s">
        <v>24</v>
      </c>
      <c r="O772" t="s">
        <v>25</v>
      </c>
      <c r="P772" t="s">
        <v>35</v>
      </c>
      <c r="Q772">
        <v>549</v>
      </c>
      <c r="R772">
        <v>417</v>
      </c>
    </row>
    <row r="773" spans="1:18">
      <c r="A773" t="s">
        <v>848</v>
      </c>
      <c r="B773" t="s">
        <v>77</v>
      </c>
      <c r="C773" t="s">
        <v>78</v>
      </c>
      <c r="D773" s="8">
        <v>2020</v>
      </c>
      <c r="E773" s="29">
        <v>6</v>
      </c>
      <c r="F773">
        <v>4</v>
      </c>
      <c r="G773">
        <v>128</v>
      </c>
      <c r="H773">
        <v>100</v>
      </c>
      <c r="I773">
        <v>48</v>
      </c>
      <c r="J773">
        <v>6.5</v>
      </c>
      <c r="K773" t="s">
        <v>79</v>
      </c>
      <c r="L773" t="s">
        <v>57</v>
      </c>
      <c r="M773" t="s">
        <v>40</v>
      </c>
      <c r="N773" t="s">
        <v>24</v>
      </c>
      <c r="O773" t="s">
        <v>34</v>
      </c>
      <c r="P773" t="s">
        <v>35</v>
      </c>
      <c r="Q773">
        <v>699</v>
      </c>
      <c r="R773">
        <v>350</v>
      </c>
    </row>
    <row r="774" spans="1:18">
      <c r="A774" t="s">
        <v>849</v>
      </c>
      <c r="B774" t="s">
        <v>73</v>
      </c>
      <c r="C774" t="s">
        <v>122</v>
      </c>
      <c r="D774" s="8">
        <v>2023</v>
      </c>
      <c r="E774" s="29">
        <v>3</v>
      </c>
      <c r="F774">
        <v>6</v>
      </c>
      <c r="G774">
        <v>64</v>
      </c>
      <c r="H774">
        <v>98</v>
      </c>
      <c r="I774">
        <v>48</v>
      </c>
      <c r="J774">
        <v>6.78</v>
      </c>
      <c r="K774" t="s">
        <v>123</v>
      </c>
      <c r="L774" t="s">
        <v>22</v>
      </c>
      <c r="M774" t="s">
        <v>32</v>
      </c>
      <c r="N774" t="s">
        <v>33</v>
      </c>
      <c r="O774" t="s">
        <v>87</v>
      </c>
      <c r="P774" t="s">
        <v>35</v>
      </c>
      <c r="Q774">
        <v>699</v>
      </c>
      <c r="R774">
        <v>501</v>
      </c>
    </row>
    <row r="775" spans="1:18">
      <c r="A775" t="s">
        <v>850</v>
      </c>
      <c r="B775" t="s">
        <v>77</v>
      </c>
      <c r="C775" t="s">
        <v>78</v>
      </c>
      <c r="D775" s="8">
        <v>2021</v>
      </c>
      <c r="E775" s="29">
        <v>5</v>
      </c>
      <c r="F775">
        <v>12</v>
      </c>
      <c r="G775">
        <v>512</v>
      </c>
      <c r="H775">
        <v>96</v>
      </c>
      <c r="I775">
        <v>48</v>
      </c>
      <c r="J775">
        <v>6.78</v>
      </c>
      <c r="K775" t="s">
        <v>79</v>
      </c>
      <c r="L775" t="s">
        <v>22</v>
      </c>
      <c r="M775" t="s">
        <v>60</v>
      </c>
      <c r="N775" t="s">
        <v>24</v>
      </c>
      <c r="O775" t="s">
        <v>61</v>
      </c>
      <c r="P775" t="s">
        <v>35</v>
      </c>
      <c r="Q775">
        <v>699</v>
      </c>
      <c r="R775">
        <v>599</v>
      </c>
    </row>
    <row r="776" spans="1:18">
      <c r="A776" t="s">
        <v>851</v>
      </c>
      <c r="B776" t="s">
        <v>54</v>
      </c>
      <c r="C776" t="s">
        <v>55</v>
      </c>
      <c r="D776" s="8">
        <v>2020</v>
      </c>
      <c r="E776" s="29">
        <v>6</v>
      </c>
      <c r="F776">
        <v>4</v>
      </c>
      <c r="G776">
        <v>64</v>
      </c>
      <c r="H776">
        <v>75</v>
      </c>
      <c r="I776">
        <v>48</v>
      </c>
      <c r="J776">
        <v>6.7</v>
      </c>
      <c r="K776" t="s">
        <v>56</v>
      </c>
      <c r="L776" t="s">
        <v>22</v>
      </c>
      <c r="M776" t="s">
        <v>60</v>
      </c>
      <c r="N776" t="s">
        <v>33</v>
      </c>
      <c r="O776" t="s">
        <v>48</v>
      </c>
      <c r="P776" t="s">
        <v>26</v>
      </c>
      <c r="Q776">
        <v>549</v>
      </c>
      <c r="R776">
        <v>378</v>
      </c>
    </row>
    <row r="777" spans="1:18">
      <c r="A777" t="s">
        <v>852</v>
      </c>
      <c r="B777" t="s">
        <v>28</v>
      </c>
      <c r="C777" t="s">
        <v>29</v>
      </c>
      <c r="D777" s="8">
        <v>2024</v>
      </c>
      <c r="E777" s="29">
        <v>2</v>
      </c>
      <c r="F777">
        <v>8</v>
      </c>
      <c r="G777">
        <v>512</v>
      </c>
      <c r="H777">
        <v>96</v>
      </c>
      <c r="I777">
        <v>50</v>
      </c>
      <c r="J777">
        <v>6.5</v>
      </c>
      <c r="K777" t="s">
        <v>30</v>
      </c>
      <c r="L777" t="s">
        <v>31</v>
      </c>
      <c r="M777" t="s">
        <v>40</v>
      </c>
      <c r="N777" t="s">
        <v>33</v>
      </c>
      <c r="O777" t="s">
        <v>41</v>
      </c>
      <c r="P777" t="s">
        <v>26</v>
      </c>
      <c r="Q777">
        <v>599</v>
      </c>
      <c r="R777">
        <v>589</v>
      </c>
    </row>
    <row r="778" spans="1:18">
      <c r="A778" t="s">
        <v>853</v>
      </c>
      <c r="B778" t="s">
        <v>19</v>
      </c>
      <c r="C778" t="s">
        <v>20</v>
      </c>
      <c r="D778" s="8">
        <v>2021</v>
      </c>
      <c r="E778" s="29">
        <v>5</v>
      </c>
      <c r="F778">
        <v>8</v>
      </c>
      <c r="G778">
        <v>512</v>
      </c>
      <c r="H778">
        <v>80</v>
      </c>
      <c r="I778">
        <v>50</v>
      </c>
      <c r="J778">
        <v>6.7</v>
      </c>
      <c r="K778" t="s">
        <v>21</v>
      </c>
      <c r="L778" t="s">
        <v>31</v>
      </c>
      <c r="M778" t="s">
        <v>23</v>
      </c>
      <c r="N778" t="s">
        <v>24</v>
      </c>
      <c r="O778" t="s">
        <v>25</v>
      </c>
      <c r="P778" t="s">
        <v>26</v>
      </c>
      <c r="Q778">
        <v>599</v>
      </c>
      <c r="R778">
        <v>589</v>
      </c>
    </row>
    <row r="779" spans="1:18">
      <c r="A779" t="s">
        <v>854</v>
      </c>
      <c r="B779" t="s">
        <v>44</v>
      </c>
      <c r="C779" t="s">
        <v>45</v>
      </c>
      <c r="D779" s="8">
        <v>2023</v>
      </c>
      <c r="E779" s="29">
        <v>3</v>
      </c>
      <c r="F779">
        <v>4</v>
      </c>
      <c r="G779">
        <v>512</v>
      </c>
      <c r="H779">
        <v>86</v>
      </c>
      <c r="I779">
        <v>64</v>
      </c>
      <c r="J779">
        <v>6.1</v>
      </c>
      <c r="K779" t="s">
        <v>46</v>
      </c>
      <c r="L779" t="s">
        <v>57</v>
      </c>
      <c r="M779" t="s">
        <v>32</v>
      </c>
      <c r="N779" t="s">
        <v>24</v>
      </c>
      <c r="O779" t="s">
        <v>87</v>
      </c>
      <c r="P779" t="s">
        <v>35</v>
      </c>
      <c r="Q779">
        <v>799</v>
      </c>
      <c r="R779">
        <v>506</v>
      </c>
    </row>
    <row r="780" spans="1:18">
      <c r="A780" t="s">
        <v>855</v>
      </c>
      <c r="B780" t="s">
        <v>64</v>
      </c>
      <c r="C780" t="s">
        <v>65</v>
      </c>
      <c r="D780" s="8">
        <v>2020</v>
      </c>
      <c r="E780" s="29">
        <v>6</v>
      </c>
      <c r="F780">
        <v>6</v>
      </c>
      <c r="G780">
        <v>64</v>
      </c>
      <c r="H780">
        <v>87</v>
      </c>
      <c r="I780">
        <v>12</v>
      </c>
      <c r="J780">
        <v>6.78</v>
      </c>
      <c r="K780" t="s">
        <v>66</v>
      </c>
      <c r="L780" t="s">
        <v>59</v>
      </c>
      <c r="M780" t="s">
        <v>40</v>
      </c>
      <c r="N780" t="s">
        <v>24</v>
      </c>
      <c r="O780" t="s">
        <v>41</v>
      </c>
      <c r="P780" t="s">
        <v>26</v>
      </c>
      <c r="Q780">
        <v>499</v>
      </c>
      <c r="R780">
        <v>396</v>
      </c>
    </row>
    <row r="781" spans="1:18">
      <c r="A781" t="s">
        <v>856</v>
      </c>
      <c r="B781" t="s">
        <v>68</v>
      </c>
      <c r="C781" t="s">
        <v>69</v>
      </c>
      <c r="D781" s="8">
        <v>2022</v>
      </c>
      <c r="E781" s="29">
        <v>4</v>
      </c>
      <c r="F781">
        <v>6</v>
      </c>
      <c r="G781">
        <v>256</v>
      </c>
      <c r="H781">
        <v>78</v>
      </c>
      <c r="I781">
        <v>12</v>
      </c>
      <c r="J781">
        <v>6.1</v>
      </c>
      <c r="K781" t="s">
        <v>70</v>
      </c>
      <c r="L781" t="s">
        <v>22</v>
      </c>
      <c r="M781" t="s">
        <v>32</v>
      </c>
      <c r="N781" t="s">
        <v>24</v>
      </c>
      <c r="O781" t="s">
        <v>41</v>
      </c>
      <c r="P781" t="s">
        <v>35</v>
      </c>
      <c r="Q781">
        <v>399</v>
      </c>
      <c r="R781">
        <v>293</v>
      </c>
    </row>
    <row r="782" spans="1:18">
      <c r="A782" t="s">
        <v>857</v>
      </c>
      <c r="B782" t="s">
        <v>19</v>
      </c>
      <c r="C782" t="s">
        <v>20</v>
      </c>
      <c r="D782" s="8">
        <v>2020</v>
      </c>
      <c r="E782" s="29">
        <v>6</v>
      </c>
      <c r="F782">
        <v>8</v>
      </c>
      <c r="G782">
        <v>256</v>
      </c>
      <c r="H782">
        <v>99</v>
      </c>
      <c r="I782">
        <v>64</v>
      </c>
      <c r="J782">
        <v>6.7</v>
      </c>
      <c r="K782" t="s">
        <v>21</v>
      </c>
      <c r="L782" t="s">
        <v>31</v>
      </c>
      <c r="M782" t="s">
        <v>23</v>
      </c>
      <c r="N782" t="s">
        <v>33</v>
      </c>
      <c r="O782" t="s">
        <v>52</v>
      </c>
      <c r="P782" t="s">
        <v>35</v>
      </c>
      <c r="Q782">
        <v>599</v>
      </c>
      <c r="R782">
        <v>572</v>
      </c>
    </row>
    <row r="783" spans="1:18">
      <c r="A783" t="s">
        <v>858</v>
      </c>
      <c r="B783" t="s">
        <v>73</v>
      </c>
      <c r="C783" t="s">
        <v>105</v>
      </c>
      <c r="D783" s="8">
        <v>2021</v>
      </c>
      <c r="E783" s="29">
        <v>5</v>
      </c>
      <c r="F783">
        <v>6</v>
      </c>
      <c r="G783">
        <v>64</v>
      </c>
      <c r="H783">
        <v>85</v>
      </c>
      <c r="I783">
        <v>50</v>
      </c>
      <c r="J783">
        <v>6.1</v>
      </c>
      <c r="K783" t="s">
        <v>75</v>
      </c>
      <c r="L783" t="s">
        <v>59</v>
      </c>
      <c r="M783" t="s">
        <v>60</v>
      </c>
      <c r="N783" t="s">
        <v>24</v>
      </c>
      <c r="O783" t="s">
        <v>87</v>
      </c>
      <c r="P783" t="s">
        <v>35</v>
      </c>
      <c r="Q783">
        <v>899</v>
      </c>
      <c r="R783">
        <v>721</v>
      </c>
    </row>
    <row r="784" spans="1:18">
      <c r="A784" t="s">
        <v>859</v>
      </c>
      <c r="B784" t="s">
        <v>77</v>
      </c>
      <c r="C784" t="s">
        <v>78</v>
      </c>
      <c r="D784" s="8">
        <v>2021</v>
      </c>
      <c r="E784" s="29">
        <v>5</v>
      </c>
      <c r="F784">
        <v>4</v>
      </c>
      <c r="G784">
        <v>256</v>
      </c>
      <c r="H784">
        <v>89</v>
      </c>
      <c r="I784">
        <v>64</v>
      </c>
      <c r="J784">
        <v>6.78</v>
      </c>
      <c r="K784" t="s">
        <v>79</v>
      </c>
      <c r="L784" t="s">
        <v>59</v>
      </c>
      <c r="M784" t="s">
        <v>40</v>
      </c>
      <c r="N784" t="s">
        <v>24</v>
      </c>
      <c r="O784" t="s">
        <v>25</v>
      </c>
      <c r="P784" t="s">
        <v>26</v>
      </c>
      <c r="Q784">
        <v>699</v>
      </c>
      <c r="R784">
        <v>574</v>
      </c>
    </row>
    <row r="785" spans="1:18">
      <c r="A785" t="s">
        <v>860</v>
      </c>
      <c r="B785" t="s">
        <v>77</v>
      </c>
      <c r="C785" t="s">
        <v>78</v>
      </c>
      <c r="D785" s="8">
        <v>2022</v>
      </c>
      <c r="E785" s="29">
        <v>4</v>
      </c>
      <c r="F785">
        <v>8</v>
      </c>
      <c r="G785">
        <v>512</v>
      </c>
      <c r="H785">
        <v>82</v>
      </c>
      <c r="I785">
        <v>108</v>
      </c>
      <c r="J785">
        <v>6.2</v>
      </c>
      <c r="K785" t="s">
        <v>79</v>
      </c>
      <c r="L785" t="s">
        <v>22</v>
      </c>
      <c r="M785" t="s">
        <v>47</v>
      </c>
      <c r="N785" t="s">
        <v>24</v>
      </c>
      <c r="O785" t="s">
        <v>52</v>
      </c>
      <c r="P785" t="s">
        <v>35</v>
      </c>
      <c r="Q785">
        <v>699</v>
      </c>
      <c r="R785">
        <v>556</v>
      </c>
    </row>
    <row r="786" spans="1:18">
      <c r="A786" t="s">
        <v>861</v>
      </c>
      <c r="B786" t="s">
        <v>89</v>
      </c>
      <c r="C786" t="s">
        <v>115</v>
      </c>
      <c r="D786" s="8">
        <v>2024</v>
      </c>
      <c r="E786" s="29">
        <v>2</v>
      </c>
      <c r="F786">
        <v>8</v>
      </c>
      <c r="G786">
        <v>128</v>
      </c>
      <c r="H786">
        <v>82</v>
      </c>
      <c r="I786">
        <v>48</v>
      </c>
      <c r="J786">
        <v>6.4</v>
      </c>
      <c r="K786" t="s">
        <v>116</v>
      </c>
      <c r="L786" t="s">
        <v>59</v>
      </c>
      <c r="M786" t="s">
        <v>86</v>
      </c>
      <c r="N786" t="s">
        <v>33</v>
      </c>
      <c r="O786" t="s">
        <v>48</v>
      </c>
      <c r="P786" t="s">
        <v>35</v>
      </c>
      <c r="Q786">
        <v>999</v>
      </c>
      <c r="R786">
        <v>824</v>
      </c>
    </row>
    <row r="787" spans="1:18">
      <c r="A787" t="s">
        <v>862</v>
      </c>
      <c r="B787" t="s">
        <v>28</v>
      </c>
      <c r="C787" t="s">
        <v>29</v>
      </c>
      <c r="D787" s="8">
        <v>2024</v>
      </c>
      <c r="E787" s="29">
        <v>2</v>
      </c>
      <c r="F787">
        <v>8</v>
      </c>
      <c r="G787">
        <v>256</v>
      </c>
      <c r="H787">
        <v>94</v>
      </c>
      <c r="I787">
        <v>48</v>
      </c>
      <c r="J787">
        <v>6.78</v>
      </c>
      <c r="K787" t="s">
        <v>30</v>
      </c>
      <c r="L787" t="s">
        <v>22</v>
      </c>
      <c r="M787" t="s">
        <v>86</v>
      </c>
      <c r="N787" t="s">
        <v>24</v>
      </c>
      <c r="O787" t="s">
        <v>25</v>
      </c>
      <c r="P787" t="s">
        <v>26</v>
      </c>
      <c r="Q787">
        <v>599</v>
      </c>
      <c r="R787">
        <v>484</v>
      </c>
    </row>
    <row r="788" spans="1:18">
      <c r="A788" t="s">
        <v>863</v>
      </c>
      <c r="B788" t="s">
        <v>73</v>
      </c>
      <c r="C788" t="s">
        <v>74</v>
      </c>
      <c r="D788" s="8">
        <v>2020</v>
      </c>
      <c r="E788" s="29">
        <v>6</v>
      </c>
      <c r="F788">
        <v>4</v>
      </c>
      <c r="G788">
        <v>512</v>
      </c>
      <c r="H788">
        <v>82</v>
      </c>
      <c r="I788">
        <v>50</v>
      </c>
      <c r="J788">
        <v>6.4</v>
      </c>
      <c r="K788" t="s">
        <v>75</v>
      </c>
      <c r="L788" t="s">
        <v>59</v>
      </c>
      <c r="M788" t="s">
        <v>32</v>
      </c>
      <c r="N788" t="s">
        <v>33</v>
      </c>
      <c r="O788" t="s">
        <v>52</v>
      </c>
      <c r="P788" t="s">
        <v>26</v>
      </c>
      <c r="Q788">
        <v>799</v>
      </c>
      <c r="R788">
        <v>684</v>
      </c>
    </row>
    <row r="789" spans="1:18">
      <c r="A789" t="s">
        <v>864</v>
      </c>
      <c r="B789" t="s">
        <v>28</v>
      </c>
      <c r="C789" t="s">
        <v>29</v>
      </c>
      <c r="D789" s="8">
        <v>2022</v>
      </c>
      <c r="E789" s="29">
        <v>4</v>
      </c>
      <c r="F789">
        <v>12</v>
      </c>
      <c r="G789">
        <v>64</v>
      </c>
      <c r="H789">
        <v>77</v>
      </c>
      <c r="I789">
        <v>64</v>
      </c>
      <c r="J789">
        <v>6.67</v>
      </c>
      <c r="K789" t="s">
        <v>30</v>
      </c>
      <c r="L789" t="s">
        <v>22</v>
      </c>
      <c r="M789" t="s">
        <v>60</v>
      </c>
      <c r="N789" t="s">
        <v>33</v>
      </c>
      <c r="O789" t="s">
        <v>25</v>
      </c>
      <c r="P789" t="s">
        <v>26</v>
      </c>
      <c r="Q789">
        <v>599</v>
      </c>
      <c r="R789">
        <v>442</v>
      </c>
    </row>
    <row r="790" spans="1:18">
      <c r="A790" t="s">
        <v>865</v>
      </c>
      <c r="B790" t="s">
        <v>54</v>
      </c>
      <c r="C790" t="s">
        <v>55</v>
      </c>
      <c r="D790" s="8">
        <v>2022</v>
      </c>
      <c r="E790" s="29">
        <v>4</v>
      </c>
      <c r="F790">
        <v>4</v>
      </c>
      <c r="G790">
        <v>512</v>
      </c>
      <c r="H790">
        <v>96</v>
      </c>
      <c r="I790">
        <v>12</v>
      </c>
      <c r="J790">
        <v>6.7</v>
      </c>
      <c r="K790" t="s">
        <v>56</v>
      </c>
      <c r="L790" t="s">
        <v>59</v>
      </c>
      <c r="M790" t="s">
        <v>86</v>
      </c>
      <c r="N790" t="s">
        <v>24</v>
      </c>
      <c r="O790" t="s">
        <v>34</v>
      </c>
      <c r="P790" t="s">
        <v>35</v>
      </c>
      <c r="Q790">
        <v>549</v>
      </c>
      <c r="R790">
        <v>536</v>
      </c>
    </row>
    <row r="791" spans="1:18">
      <c r="A791" t="s">
        <v>866</v>
      </c>
      <c r="B791" t="s">
        <v>28</v>
      </c>
      <c r="C791" t="s">
        <v>29</v>
      </c>
      <c r="D791" s="8">
        <v>2023</v>
      </c>
      <c r="E791" s="29">
        <v>3</v>
      </c>
      <c r="F791">
        <v>12</v>
      </c>
      <c r="G791">
        <v>512</v>
      </c>
      <c r="H791">
        <v>86</v>
      </c>
      <c r="I791">
        <v>48</v>
      </c>
      <c r="J791">
        <v>6.1</v>
      </c>
      <c r="K791" t="s">
        <v>30</v>
      </c>
      <c r="L791" t="s">
        <v>31</v>
      </c>
      <c r="M791" t="s">
        <v>32</v>
      </c>
      <c r="N791" t="s">
        <v>33</v>
      </c>
      <c r="O791" t="s">
        <v>41</v>
      </c>
      <c r="P791" t="s">
        <v>26</v>
      </c>
      <c r="Q791">
        <v>599</v>
      </c>
      <c r="R791">
        <v>589</v>
      </c>
    </row>
    <row r="792" spans="1:18">
      <c r="A792" t="s">
        <v>867</v>
      </c>
      <c r="B792" t="s">
        <v>28</v>
      </c>
      <c r="C792" t="s">
        <v>29</v>
      </c>
      <c r="D792" s="8">
        <v>2021</v>
      </c>
      <c r="E792" s="29">
        <v>5</v>
      </c>
      <c r="F792">
        <v>6</v>
      </c>
      <c r="G792">
        <v>256</v>
      </c>
      <c r="H792">
        <v>91</v>
      </c>
      <c r="I792">
        <v>48</v>
      </c>
      <c r="J792">
        <v>6.78</v>
      </c>
      <c r="K792" t="s">
        <v>30</v>
      </c>
      <c r="L792" t="s">
        <v>59</v>
      </c>
      <c r="M792" t="s">
        <v>32</v>
      </c>
      <c r="N792" t="s">
        <v>33</v>
      </c>
      <c r="O792" t="s">
        <v>41</v>
      </c>
      <c r="P792" t="s">
        <v>35</v>
      </c>
      <c r="Q792">
        <v>599</v>
      </c>
      <c r="R792">
        <v>525</v>
      </c>
    </row>
    <row r="793" spans="1:18">
      <c r="A793" t="s">
        <v>868</v>
      </c>
      <c r="B793" t="s">
        <v>77</v>
      </c>
      <c r="C793" t="s">
        <v>78</v>
      </c>
      <c r="D793" s="8">
        <v>2022</v>
      </c>
      <c r="E793" s="29">
        <v>4</v>
      </c>
      <c r="F793">
        <v>4</v>
      </c>
      <c r="G793">
        <v>128</v>
      </c>
      <c r="H793">
        <v>99</v>
      </c>
      <c r="I793">
        <v>50</v>
      </c>
      <c r="J793">
        <v>6.5</v>
      </c>
      <c r="K793" t="s">
        <v>79</v>
      </c>
      <c r="L793" t="s">
        <v>59</v>
      </c>
      <c r="M793" t="s">
        <v>23</v>
      </c>
      <c r="N793" t="s">
        <v>24</v>
      </c>
      <c r="O793" t="s">
        <v>61</v>
      </c>
      <c r="P793" t="s">
        <v>35</v>
      </c>
      <c r="Q793">
        <v>699</v>
      </c>
      <c r="R793">
        <v>558</v>
      </c>
    </row>
    <row r="794" spans="1:18">
      <c r="A794" t="s">
        <v>869</v>
      </c>
      <c r="B794" t="s">
        <v>54</v>
      </c>
      <c r="C794" t="s">
        <v>55</v>
      </c>
      <c r="D794" s="8">
        <v>2023</v>
      </c>
      <c r="E794" s="29">
        <v>3</v>
      </c>
      <c r="F794">
        <v>4</v>
      </c>
      <c r="G794">
        <v>64</v>
      </c>
      <c r="H794">
        <v>91</v>
      </c>
      <c r="I794">
        <v>48</v>
      </c>
      <c r="J794">
        <v>6.78</v>
      </c>
      <c r="K794" t="s">
        <v>56</v>
      </c>
      <c r="L794" t="s">
        <v>22</v>
      </c>
      <c r="M794" t="s">
        <v>40</v>
      </c>
      <c r="N794" t="s">
        <v>24</v>
      </c>
      <c r="O794" t="s">
        <v>34</v>
      </c>
      <c r="P794" t="s">
        <v>35</v>
      </c>
      <c r="Q794">
        <v>549</v>
      </c>
      <c r="R794">
        <v>388</v>
      </c>
    </row>
    <row r="795" spans="1:18">
      <c r="A795" t="s">
        <v>870</v>
      </c>
      <c r="B795" t="s">
        <v>89</v>
      </c>
      <c r="C795" t="s">
        <v>90</v>
      </c>
      <c r="D795" s="8">
        <v>2022</v>
      </c>
      <c r="E795" s="29">
        <v>4</v>
      </c>
      <c r="F795">
        <v>4</v>
      </c>
      <c r="G795">
        <v>64</v>
      </c>
      <c r="H795">
        <v>95</v>
      </c>
      <c r="I795">
        <v>12</v>
      </c>
      <c r="J795">
        <v>6.78</v>
      </c>
      <c r="K795" t="s">
        <v>91</v>
      </c>
      <c r="L795" t="s">
        <v>57</v>
      </c>
      <c r="M795" t="s">
        <v>60</v>
      </c>
      <c r="N795" t="s">
        <v>24</v>
      </c>
      <c r="O795" t="s">
        <v>25</v>
      </c>
      <c r="P795" t="s">
        <v>26</v>
      </c>
      <c r="Q795">
        <v>449</v>
      </c>
      <c r="R795">
        <v>255</v>
      </c>
    </row>
    <row r="796" spans="1:18">
      <c r="A796" t="s">
        <v>871</v>
      </c>
      <c r="B796" t="s">
        <v>28</v>
      </c>
      <c r="C796" t="s">
        <v>29</v>
      </c>
      <c r="D796" s="8">
        <v>2021</v>
      </c>
      <c r="E796" s="29">
        <v>5</v>
      </c>
      <c r="F796">
        <v>12</v>
      </c>
      <c r="G796">
        <v>64</v>
      </c>
      <c r="H796">
        <v>92</v>
      </c>
      <c r="I796">
        <v>50</v>
      </c>
      <c r="J796">
        <v>6.2</v>
      </c>
      <c r="K796" t="s">
        <v>30</v>
      </c>
      <c r="L796" t="s">
        <v>22</v>
      </c>
      <c r="M796" t="s">
        <v>86</v>
      </c>
      <c r="N796" t="s">
        <v>33</v>
      </c>
      <c r="O796" t="s">
        <v>84</v>
      </c>
      <c r="P796" t="s">
        <v>35</v>
      </c>
      <c r="Q796">
        <v>599</v>
      </c>
      <c r="R796">
        <v>442</v>
      </c>
    </row>
    <row r="797" spans="1:18">
      <c r="A797" t="s">
        <v>872</v>
      </c>
      <c r="B797" t="s">
        <v>64</v>
      </c>
      <c r="C797" t="s">
        <v>65</v>
      </c>
      <c r="D797" s="8">
        <v>2022</v>
      </c>
      <c r="E797" s="29">
        <v>4</v>
      </c>
      <c r="F797">
        <v>8</v>
      </c>
      <c r="G797">
        <v>256</v>
      </c>
      <c r="H797">
        <v>83</v>
      </c>
      <c r="I797">
        <v>48</v>
      </c>
      <c r="J797">
        <v>6.7</v>
      </c>
      <c r="K797" t="s">
        <v>66</v>
      </c>
      <c r="L797" t="s">
        <v>22</v>
      </c>
      <c r="M797" t="s">
        <v>32</v>
      </c>
      <c r="N797" t="s">
        <v>33</v>
      </c>
      <c r="O797" t="s">
        <v>34</v>
      </c>
      <c r="P797" t="s">
        <v>26</v>
      </c>
      <c r="Q797">
        <v>499</v>
      </c>
      <c r="R797">
        <v>408</v>
      </c>
    </row>
    <row r="798" spans="1:18">
      <c r="A798" t="s">
        <v>873</v>
      </c>
      <c r="B798" t="s">
        <v>44</v>
      </c>
      <c r="C798" t="s">
        <v>45</v>
      </c>
      <c r="D798" s="8">
        <v>2020</v>
      </c>
      <c r="E798" s="29">
        <v>6</v>
      </c>
      <c r="F798">
        <v>12</v>
      </c>
      <c r="G798">
        <v>256</v>
      </c>
      <c r="H798">
        <v>85</v>
      </c>
      <c r="I798">
        <v>50</v>
      </c>
      <c r="J798">
        <v>6.2</v>
      </c>
      <c r="K798" t="s">
        <v>46</v>
      </c>
      <c r="L798" t="s">
        <v>59</v>
      </c>
      <c r="M798" t="s">
        <v>40</v>
      </c>
      <c r="N798" t="s">
        <v>33</v>
      </c>
      <c r="O798" t="s">
        <v>87</v>
      </c>
      <c r="P798" t="s">
        <v>35</v>
      </c>
      <c r="Q798">
        <v>799</v>
      </c>
      <c r="R798">
        <v>678</v>
      </c>
    </row>
    <row r="799" spans="1:18">
      <c r="A799" t="s">
        <v>874</v>
      </c>
      <c r="B799" t="s">
        <v>19</v>
      </c>
      <c r="C799" t="s">
        <v>20</v>
      </c>
      <c r="D799" s="8">
        <v>2024</v>
      </c>
      <c r="E799" s="29">
        <v>2</v>
      </c>
      <c r="F799">
        <v>6</v>
      </c>
      <c r="G799">
        <v>64</v>
      </c>
      <c r="H799">
        <v>83</v>
      </c>
      <c r="I799">
        <v>12</v>
      </c>
      <c r="J799">
        <v>6.4</v>
      </c>
      <c r="K799" t="s">
        <v>21</v>
      </c>
      <c r="L799" t="s">
        <v>59</v>
      </c>
      <c r="M799" t="s">
        <v>23</v>
      </c>
      <c r="N799" t="s">
        <v>33</v>
      </c>
      <c r="O799" t="s">
        <v>41</v>
      </c>
      <c r="P799" t="s">
        <v>26</v>
      </c>
      <c r="Q799">
        <v>599</v>
      </c>
      <c r="R799">
        <v>515</v>
      </c>
    </row>
    <row r="800" spans="1:18">
      <c r="A800" t="s">
        <v>875</v>
      </c>
      <c r="B800" t="s">
        <v>37</v>
      </c>
      <c r="C800" t="s">
        <v>38</v>
      </c>
      <c r="D800" s="8">
        <v>2020</v>
      </c>
      <c r="E800" s="29">
        <v>6</v>
      </c>
      <c r="F800">
        <v>12</v>
      </c>
      <c r="G800">
        <v>256</v>
      </c>
      <c r="H800">
        <v>97</v>
      </c>
      <c r="I800">
        <v>64</v>
      </c>
      <c r="J800">
        <v>6.5</v>
      </c>
      <c r="K800" t="s">
        <v>39</v>
      </c>
      <c r="L800" t="s">
        <v>22</v>
      </c>
      <c r="M800" t="s">
        <v>86</v>
      </c>
      <c r="N800" t="s">
        <v>24</v>
      </c>
      <c r="O800" t="s">
        <v>41</v>
      </c>
      <c r="P800" t="s">
        <v>26</v>
      </c>
      <c r="Q800">
        <v>599</v>
      </c>
      <c r="R800">
        <v>482</v>
      </c>
    </row>
    <row r="801" spans="1:18">
      <c r="A801" t="s">
        <v>876</v>
      </c>
      <c r="B801" t="s">
        <v>77</v>
      </c>
      <c r="C801" t="s">
        <v>78</v>
      </c>
      <c r="D801" s="8">
        <v>2021</v>
      </c>
      <c r="E801" s="29">
        <v>5</v>
      </c>
      <c r="F801">
        <v>8</v>
      </c>
      <c r="G801">
        <v>512</v>
      </c>
      <c r="H801">
        <v>81</v>
      </c>
      <c r="I801">
        <v>12</v>
      </c>
      <c r="J801">
        <v>6.1</v>
      </c>
      <c r="K801" t="s">
        <v>79</v>
      </c>
      <c r="L801" t="s">
        <v>59</v>
      </c>
      <c r="M801" t="s">
        <v>47</v>
      </c>
      <c r="N801" t="s">
        <v>33</v>
      </c>
      <c r="O801" t="s">
        <v>61</v>
      </c>
      <c r="P801" t="s">
        <v>26</v>
      </c>
      <c r="Q801">
        <v>699</v>
      </c>
      <c r="R801">
        <v>623</v>
      </c>
    </row>
    <row r="802" spans="1:18">
      <c r="A802" t="s">
        <v>877</v>
      </c>
      <c r="B802" t="s">
        <v>44</v>
      </c>
      <c r="C802" t="s">
        <v>45</v>
      </c>
      <c r="D802" s="8">
        <v>2023</v>
      </c>
      <c r="E802" s="29">
        <v>3</v>
      </c>
      <c r="F802">
        <v>12</v>
      </c>
      <c r="G802">
        <v>128</v>
      </c>
      <c r="H802">
        <v>86</v>
      </c>
      <c r="I802">
        <v>12</v>
      </c>
      <c r="J802">
        <v>6.4</v>
      </c>
      <c r="K802" t="s">
        <v>46</v>
      </c>
      <c r="L802" t="s">
        <v>59</v>
      </c>
      <c r="M802" t="s">
        <v>23</v>
      </c>
      <c r="N802" t="s">
        <v>24</v>
      </c>
      <c r="O802" t="s">
        <v>87</v>
      </c>
      <c r="P802" t="s">
        <v>35</v>
      </c>
      <c r="Q802">
        <v>799</v>
      </c>
      <c r="R802">
        <v>676</v>
      </c>
    </row>
    <row r="803" spans="1:18">
      <c r="A803" t="s">
        <v>878</v>
      </c>
      <c r="B803" t="s">
        <v>19</v>
      </c>
      <c r="C803" t="s">
        <v>20</v>
      </c>
      <c r="D803" s="8">
        <v>2024</v>
      </c>
      <c r="E803" s="29">
        <v>2</v>
      </c>
      <c r="F803">
        <v>6</v>
      </c>
      <c r="G803">
        <v>512</v>
      </c>
      <c r="H803">
        <v>88</v>
      </c>
      <c r="I803">
        <v>12</v>
      </c>
      <c r="J803">
        <v>6.1</v>
      </c>
      <c r="K803" t="s">
        <v>21</v>
      </c>
      <c r="L803" t="s">
        <v>31</v>
      </c>
      <c r="M803" t="s">
        <v>23</v>
      </c>
      <c r="N803" t="s">
        <v>33</v>
      </c>
      <c r="O803" t="s">
        <v>41</v>
      </c>
      <c r="P803" t="s">
        <v>35</v>
      </c>
      <c r="Q803">
        <v>599</v>
      </c>
      <c r="R803">
        <v>589</v>
      </c>
    </row>
    <row r="804" spans="1:18">
      <c r="A804" t="s">
        <v>879</v>
      </c>
      <c r="B804" t="s">
        <v>19</v>
      </c>
      <c r="C804" t="s">
        <v>20</v>
      </c>
      <c r="D804" s="8">
        <v>2021</v>
      </c>
      <c r="E804" s="29">
        <v>5</v>
      </c>
      <c r="F804">
        <v>12</v>
      </c>
      <c r="G804">
        <v>128</v>
      </c>
      <c r="H804">
        <v>95</v>
      </c>
      <c r="I804">
        <v>64</v>
      </c>
      <c r="J804">
        <v>6.67</v>
      </c>
      <c r="K804" t="s">
        <v>21</v>
      </c>
      <c r="L804" t="s">
        <v>31</v>
      </c>
      <c r="M804" t="s">
        <v>32</v>
      </c>
      <c r="N804" t="s">
        <v>24</v>
      </c>
      <c r="O804" t="s">
        <v>61</v>
      </c>
      <c r="P804" t="s">
        <v>35</v>
      </c>
      <c r="Q804">
        <v>599</v>
      </c>
      <c r="R804">
        <v>583</v>
      </c>
    </row>
    <row r="805" spans="1:18">
      <c r="A805" t="s">
        <v>880</v>
      </c>
      <c r="B805" t="s">
        <v>77</v>
      </c>
      <c r="C805" t="s">
        <v>78</v>
      </c>
      <c r="D805" s="8">
        <v>2022</v>
      </c>
      <c r="E805" s="29">
        <v>4</v>
      </c>
      <c r="F805">
        <v>12</v>
      </c>
      <c r="G805">
        <v>128</v>
      </c>
      <c r="H805">
        <v>83</v>
      </c>
      <c r="I805">
        <v>108</v>
      </c>
      <c r="J805">
        <v>6.1</v>
      </c>
      <c r="K805" t="s">
        <v>79</v>
      </c>
      <c r="L805" t="s">
        <v>22</v>
      </c>
      <c r="M805" t="s">
        <v>23</v>
      </c>
      <c r="N805" t="s">
        <v>24</v>
      </c>
      <c r="O805" t="s">
        <v>61</v>
      </c>
      <c r="P805" t="s">
        <v>35</v>
      </c>
      <c r="Q805">
        <v>699</v>
      </c>
      <c r="R805">
        <v>497</v>
      </c>
    </row>
    <row r="806" spans="1:18">
      <c r="A806" t="s">
        <v>881</v>
      </c>
      <c r="B806" t="s">
        <v>54</v>
      </c>
      <c r="C806" t="s">
        <v>55</v>
      </c>
      <c r="D806" s="8">
        <v>2020</v>
      </c>
      <c r="E806" s="29">
        <v>6</v>
      </c>
      <c r="F806">
        <v>8</v>
      </c>
      <c r="G806">
        <v>128</v>
      </c>
      <c r="H806">
        <v>93</v>
      </c>
      <c r="I806">
        <v>64</v>
      </c>
      <c r="J806">
        <v>6.1</v>
      </c>
      <c r="K806" t="s">
        <v>56</v>
      </c>
      <c r="L806" t="s">
        <v>57</v>
      </c>
      <c r="M806" t="s">
        <v>32</v>
      </c>
      <c r="N806" t="s">
        <v>24</v>
      </c>
      <c r="O806" t="s">
        <v>84</v>
      </c>
      <c r="P806" t="s">
        <v>26</v>
      </c>
      <c r="Q806">
        <v>549</v>
      </c>
      <c r="R806">
        <v>301</v>
      </c>
    </row>
    <row r="807" spans="1:18">
      <c r="A807" t="s">
        <v>882</v>
      </c>
      <c r="B807" t="s">
        <v>73</v>
      </c>
      <c r="C807" t="s">
        <v>74</v>
      </c>
      <c r="D807" s="8">
        <v>2024</v>
      </c>
      <c r="E807" s="29">
        <v>2</v>
      </c>
      <c r="F807">
        <v>8</v>
      </c>
      <c r="G807">
        <v>128</v>
      </c>
      <c r="H807">
        <v>85</v>
      </c>
      <c r="I807">
        <v>50</v>
      </c>
      <c r="J807">
        <v>6.4</v>
      </c>
      <c r="K807" t="s">
        <v>75</v>
      </c>
      <c r="L807" t="s">
        <v>59</v>
      </c>
      <c r="M807" t="s">
        <v>47</v>
      </c>
      <c r="N807" t="s">
        <v>33</v>
      </c>
      <c r="O807" t="s">
        <v>48</v>
      </c>
      <c r="P807" t="s">
        <v>35</v>
      </c>
      <c r="Q807">
        <v>799</v>
      </c>
      <c r="R807">
        <v>662</v>
      </c>
    </row>
    <row r="808" spans="1:18">
      <c r="A808" t="s">
        <v>883</v>
      </c>
      <c r="B808" t="s">
        <v>28</v>
      </c>
      <c r="C808" t="s">
        <v>29</v>
      </c>
      <c r="D808" s="8">
        <v>2021</v>
      </c>
      <c r="E808" s="29">
        <v>5</v>
      </c>
      <c r="F808">
        <v>6</v>
      </c>
      <c r="G808">
        <v>512</v>
      </c>
      <c r="H808">
        <v>83</v>
      </c>
      <c r="I808">
        <v>64</v>
      </c>
      <c r="J808">
        <v>6.2</v>
      </c>
      <c r="K808" t="s">
        <v>30</v>
      </c>
      <c r="L808" t="s">
        <v>22</v>
      </c>
      <c r="M808" t="s">
        <v>86</v>
      </c>
      <c r="N808" t="s">
        <v>24</v>
      </c>
      <c r="O808" t="s">
        <v>87</v>
      </c>
      <c r="P808" t="s">
        <v>35</v>
      </c>
      <c r="Q808">
        <v>599</v>
      </c>
      <c r="R808">
        <v>464</v>
      </c>
    </row>
    <row r="809" spans="1:18">
      <c r="A809" t="s">
        <v>884</v>
      </c>
      <c r="B809" t="s">
        <v>64</v>
      </c>
      <c r="C809" t="s">
        <v>65</v>
      </c>
      <c r="D809" s="8">
        <v>2024</v>
      </c>
      <c r="E809" s="29">
        <v>2</v>
      </c>
      <c r="F809">
        <v>8</v>
      </c>
      <c r="G809">
        <v>128</v>
      </c>
      <c r="H809">
        <v>81</v>
      </c>
      <c r="I809">
        <v>50</v>
      </c>
      <c r="J809">
        <v>6.4</v>
      </c>
      <c r="K809" t="s">
        <v>66</v>
      </c>
      <c r="L809" t="s">
        <v>22</v>
      </c>
      <c r="M809" t="s">
        <v>86</v>
      </c>
      <c r="N809" t="s">
        <v>33</v>
      </c>
      <c r="O809" t="s">
        <v>41</v>
      </c>
      <c r="P809" t="s">
        <v>26</v>
      </c>
      <c r="Q809">
        <v>499</v>
      </c>
      <c r="R809">
        <v>376</v>
      </c>
    </row>
    <row r="810" spans="1:18">
      <c r="A810" t="s">
        <v>885</v>
      </c>
      <c r="B810" t="s">
        <v>73</v>
      </c>
      <c r="C810" t="s">
        <v>74</v>
      </c>
      <c r="D810" s="8">
        <v>2023</v>
      </c>
      <c r="E810" s="29">
        <v>3</v>
      </c>
      <c r="F810">
        <v>8</v>
      </c>
      <c r="G810">
        <v>128</v>
      </c>
      <c r="H810">
        <v>86</v>
      </c>
      <c r="I810">
        <v>12</v>
      </c>
      <c r="J810">
        <v>6.2</v>
      </c>
      <c r="K810" t="s">
        <v>75</v>
      </c>
      <c r="L810" t="s">
        <v>31</v>
      </c>
      <c r="M810" t="s">
        <v>47</v>
      </c>
      <c r="N810" t="s">
        <v>24</v>
      </c>
      <c r="O810" t="s">
        <v>25</v>
      </c>
      <c r="P810" t="s">
        <v>35</v>
      </c>
      <c r="Q810">
        <v>799</v>
      </c>
      <c r="R810">
        <v>715</v>
      </c>
    </row>
    <row r="811" spans="1:18">
      <c r="A811" t="s">
        <v>886</v>
      </c>
      <c r="B811" t="s">
        <v>19</v>
      </c>
      <c r="C811" t="s">
        <v>20</v>
      </c>
      <c r="D811" s="8">
        <v>2021</v>
      </c>
      <c r="E811" s="29">
        <v>5</v>
      </c>
      <c r="F811">
        <v>8</v>
      </c>
      <c r="G811">
        <v>512</v>
      </c>
      <c r="H811">
        <v>79</v>
      </c>
      <c r="I811">
        <v>12</v>
      </c>
      <c r="J811">
        <v>6.7</v>
      </c>
      <c r="K811" t="s">
        <v>21</v>
      </c>
      <c r="L811" t="s">
        <v>59</v>
      </c>
      <c r="M811" t="s">
        <v>60</v>
      </c>
      <c r="N811" t="s">
        <v>33</v>
      </c>
      <c r="O811" t="s">
        <v>84</v>
      </c>
      <c r="P811" t="s">
        <v>35</v>
      </c>
      <c r="Q811">
        <v>599</v>
      </c>
      <c r="R811">
        <v>581</v>
      </c>
    </row>
    <row r="812" spans="1:18">
      <c r="A812" t="s">
        <v>887</v>
      </c>
      <c r="B812" t="s">
        <v>28</v>
      </c>
      <c r="C812" t="s">
        <v>29</v>
      </c>
      <c r="D812" s="8">
        <v>2022</v>
      </c>
      <c r="E812" s="29">
        <v>4</v>
      </c>
      <c r="F812">
        <v>8</v>
      </c>
      <c r="G812">
        <v>128</v>
      </c>
      <c r="H812">
        <v>76</v>
      </c>
      <c r="I812">
        <v>108</v>
      </c>
      <c r="J812">
        <v>6.2</v>
      </c>
      <c r="K812" t="s">
        <v>30</v>
      </c>
      <c r="L812" t="s">
        <v>22</v>
      </c>
      <c r="M812" t="s">
        <v>40</v>
      </c>
      <c r="N812" t="s">
        <v>33</v>
      </c>
      <c r="O812" t="s">
        <v>52</v>
      </c>
      <c r="P812" t="s">
        <v>35</v>
      </c>
      <c r="Q812">
        <v>599</v>
      </c>
      <c r="R812">
        <v>429</v>
      </c>
    </row>
    <row r="813" spans="1:18">
      <c r="A813" t="s">
        <v>888</v>
      </c>
      <c r="B813" t="s">
        <v>28</v>
      </c>
      <c r="C813" t="s">
        <v>29</v>
      </c>
      <c r="D813" s="8">
        <v>2024</v>
      </c>
      <c r="E813" s="29">
        <v>2</v>
      </c>
      <c r="F813">
        <v>4</v>
      </c>
      <c r="G813">
        <v>512</v>
      </c>
      <c r="H813">
        <v>87</v>
      </c>
      <c r="I813">
        <v>48</v>
      </c>
      <c r="J813">
        <v>6.5</v>
      </c>
      <c r="K813" t="s">
        <v>30</v>
      </c>
      <c r="L813" t="s">
        <v>22</v>
      </c>
      <c r="M813" t="s">
        <v>32</v>
      </c>
      <c r="N813" t="s">
        <v>33</v>
      </c>
      <c r="O813" t="s">
        <v>25</v>
      </c>
      <c r="P813" t="s">
        <v>26</v>
      </c>
      <c r="Q813">
        <v>599</v>
      </c>
      <c r="R813">
        <v>498</v>
      </c>
    </row>
    <row r="814" spans="1:18">
      <c r="A814" t="s">
        <v>889</v>
      </c>
      <c r="B814" t="s">
        <v>37</v>
      </c>
      <c r="C814" t="s">
        <v>38</v>
      </c>
      <c r="D814" s="8">
        <v>2021</v>
      </c>
      <c r="E814" s="29">
        <v>5</v>
      </c>
      <c r="F814">
        <v>4</v>
      </c>
      <c r="G814">
        <v>512</v>
      </c>
      <c r="H814">
        <v>97</v>
      </c>
      <c r="I814">
        <v>50</v>
      </c>
      <c r="J814">
        <v>6.1</v>
      </c>
      <c r="K814" t="s">
        <v>39</v>
      </c>
      <c r="L814" t="s">
        <v>31</v>
      </c>
      <c r="M814" t="s">
        <v>60</v>
      </c>
      <c r="N814" t="s">
        <v>33</v>
      </c>
      <c r="O814" t="s">
        <v>87</v>
      </c>
      <c r="P814" t="s">
        <v>35</v>
      </c>
      <c r="Q814">
        <v>599</v>
      </c>
      <c r="R814">
        <v>589</v>
      </c>
    </row>
    <row r="815" spans="1:18">
      <c r="A815" t="s">
        <v>890</v>
      </c>
      <c r="B815" t="s">
        <v>68</v>
      </c>
      <c r="C815" t="s">
        <v>81</v>
      </c>
      <c r="D815" s="8">
        <v>2022</v>
      </c>
      <c r="E815" s="29">
        <v>4</v>
      </c>
      <c r="F815">
        <v>12</v>
      </c>
      <c r="G815">
        <v>256</v>
      </c>
      <c r="H815">
        <v>83</v>
      </c>
      <c r="I815">
        <v>48</v>
      </c>
      <c r="J815">
        <v>6.2</v>
      </c>
      <c r="K815" t="s">
        <v>82</v>
      </c>
      <c r="L815" t="s">
        <v>22</v>
      </c>
      <c r="M815" t="s">
        <v>60</v>
      </c>
      <c r="N815" t="s">
        <v>24</v>
      </c>
      <c r="O815" t="s">
        <v>48</v>
      </c>
      <c r="P815" t="s">
        <v>35</v>
      </c>
      <c r="Q815">
        <v>299</v>
      </c>
      <c r="R815">
        <v>289</v>
      </c>
    </row>
    <row r="816" spans="1:18">
      <c r="A816" t="s">
        <v>891</v>
      </c>
      <c r="B816" t="s">
        <v>28</v>
      </c>
      <c r="C816" t="s">
        <v>29</v>
      </c>
      <c r="D816" s="8">
        <v>2020</v>
      </c>
      <c r="E816" s="29">
        <v>6</v>
      </c>
      <c r="F816">
        <v>4</v>
      </c>
      <c r="G816">
        <v>128</v>
      </c>
      <c r="H816">
        <v>91</v>
      </c>
      <c r="I816">
        <v>64</v>
      </c>
      <c r="J816">
        <v>6.67</v>
      </c>
      <c r="K816" t="s">
        <v>30</v>
      </c>
      <c r="L816" t="s">
        <v>22</v>
      </c>
      <c r="M816" t="s">
        <v>60</v>
      </c>
      <c r="N816" t="s">
        <v>24</v>
      </c>
      <c r="O816" t="s">
        <v>84</v>
      </c>
      <c r="P816" t="s">
        <v>26</v>
      </c>
      <c r="Q816">
        <v>599</v>
      </c>
      <c r="R816">
        <v>435</v>
      </c>
    </row>
    <row r="817" spans="1:18">
      <c r="A817" t="s">
        <v>892</v>
      </c>
      <c r="B817" t="s">
        <v>77</v>
      </c>
      <c r="C817" t="s">
        <v>78</v>
      </c>
      <c r="D817" s="8">
        <v>2023</v>
      </c>
      <c r="E817" s="29">
        <v>3</v>
      </c>
      <c r="F817">
        <v>4</v>
      </c>
      <c r="G817">
        <v>512</v>
      </c>
      <c r="H817">
        <v>88</v>
      </c>
      <c r="I817">
        <v>50</v>
      </c>
      <c r="J817">
        <v>6.2</v>
      </c>
      <c r="K817" t="s">
        <v>79</v>
      </c>
      <c r="L817" t="s">
        <v>31</v>
      </c>
      <c r="M817" t="s">
        <v>60</v>
      </c>
      <c r="N817" t="s">
        <v>24</v>
      </c>
      <c r="O817" t="s">
        <v>84</v>
      </c>
      <c r="P817" t="s">
        <v>35</v>
      </c>
      <c r="Q817">
        <v>699</v>
      </c>
      <c r="R817">
        <v>689</v>
      </c>
    </row>
    <row r="818" spans="1:18">
      <c r="A818" t="s">
        <v>893</v>
      </c>
      <c r="B818" t="s">
        <v>19</v>
      </c>
      <c r="C818" t="s">
        <v>20</v>
      </c>
      <c r="D818" s="8">
        <v>2021</v>
      </c>
      <c r="E818" s="29">
        <v>5</v>
      </c>
      <c r="F818">
        <v>8</v>
      </c>
      <c r="G818">
        <v>64</v>
      </c>
      <c r="H818">
        <v>98</v>
      </c>
      <c r="I818">
        <v>48</v>
      </c>
      <c r="J818">
        <v>6.7</v>
      </c>
      <c r="K818" t="s">
        <v>21</v>
      </c>
      <c r="L818" t="s">
        <v>59</v>
      </c>
      <c r="M818" t="s">
        <v>47</v>
      </c>
      <c r="N818" t="s">
        <v>24</v>
      </c>
      <c r="O818" t="s">
        <v>48</v>
      </c>
      <c r="P818" t="s">
        <v>26</v>
      </c>
      <c r="Q818">
        <v>599</v>
      </c>
      <c r="R818">
        <v>518</v>
      </c>
    </row>
    <row r="819" spans="1:18">
      <c r="A819" t="s">
        <v>894</v>
      </c>
      <c r="B819" t="s">
        <v>77</v>
      </c>
      <c r="C819" t="s">
        <v>78</v>
      </c>
      <c r="D819" s="8">
        <v>2021</v>
      </c>
      <c r="E819" s="29">
        <v>5</v>
      </c>
      <c r="F819">
        <v>6</v>
      </c>
      <c r="G819">
        <v>64</v>
      </c>
      <c r="H819">
        <v>82</v>
      </c>
      <c r="I819">
        <v>48</v>
      </c>
      <c r="J819">
        <v>6.67</v>
      </c>
      <c r="K819" t="s">
        <v>79</v>
      </c>
      <c r="L819" t="s">
        <v>59</v>
      </c>
      <c r="M819" t="s">
        <v>47</v>
      </c>
      <c r="N819" t="s">
        <v>24</v>
      </c>
      <c r="O819" t="s">
        <v>34</v>
      </c>
      <c r="P819" t="s">
        <v>26</v>
      </c>
      <c r="Q819">
        <v>699</v>
      </c>
      <c r="R819">
        <v>579</v>
      </c>
    </row>
    <row r="820" spans="1:18">
      <c r="A820" t="s">
        <v>895</v>
      </c>
      <c r="B820" t="s">
        <v>68</v>
      </c>
      <c r="C820" t="s">
        <v>69</v>
      </c>
      <c r="D820" s="8">
        <v>2021</v>
      </c>
      <c r="E820" s="29">
        <v>5</v>
      </c>
      <c r="F820">
        <v>12</v>
      </c>
      <c r="G820">
        <v>512</v>
      </c>
      <c r="H820">
        <v>83</v>
      </c>
      <c r="I820">
        <v>108</v>
      </c>
      <c r="J820">
        <v>6.1</v>
      </c>
      <c r="K820" t="s">
        <v>70</v>
      </c>
      <c r="L820" t="s">
        <v>31</v>
      </c>
      <c r="M820" t="s">
        <v>86</v>
      </c>
      <c r="N820" t="s">
        <v>24</v>
      </c>
      <c r="O820" t="s">
        <v>84</v>
      </c>
      <c r="P820" t="s">
        <v>35</v>
      </c>
      <c r="Q820">
        <v>399</v>
      </c>
      <c r="R820">
        <v>389</v>
      </c>
    </row>
    <row r="821" spans="1:18">
      <c r="A821" t="s">
        <v>896</v>
      </c>
      <c r="B821" t="s">
        <v>77</v>
      </c>
      <c r="C821" t="s">
        <v>78</v>
      </c>
      <c r="D821" s="8">
        <v>2024</v>
      </c>
      <c r="E821" s="29">
        <v>2</v>
      </c>
      <c r="F821">
        <v>6</v>
      </c>
      <c r="G821">
        <v>128</v>
      </c>
      <c r="H821">
        <v>87</v>
      </c>
      <c r="I821">
        <v>108</v>
      </c>
      <c r="J821">
        <v>6.2</v>
      </c>
      <c r="K821" t="s">
        <v>79</v>
      </c>
      <c r="L821" t="s">
        <v>22</v>
      </c>
      <c r="M821" t="s">
        <v>23</v>
      </c>
      <c r="N821" t="s">
        <v>24</v>
      </c>
      <c r="O821" t="s">
        <v>25</v>
      </c>
      <c r="P821" t="s">
        <v>35</v>
      </c>
      <c r="Q821">
        <v>699</v>
      </c>
      <c r="R821">
        <v>488</v>
      </c>
    </row>
    <row r="822" spans="1:18">
      <c r="A822" t="s">
        <v>897</v>
      </c>
      <c r="B822" t="s">
        <v>44</v>
      </c>
      <c r="C822" t="s">
        <v>45</v>
      </c>
      <c r="D822" s="8">
        <v>2020</v>
      </c>
      <c r="E822" s="29">
        <v>6</v>
      </c>
      <c r="F822">
        <v>12</v>
      </c>
      <c r="G822">
        <v>256</v>
      </c>
      <c r="H822">
        <v>77</v>
      </c>
      <c r="I822">
        <v>48</v>
      </c>
      <c r="J822">
        <v>6.78</v>
      </c>
      <c r="K822" t="s">
        <v>46</v>
      </c>
      <c r="L822" t="s">
        <v>31</v>
      </c>
      <c r="M822" t="s">
        <v>86</v>
      </c>
      <c r="N822" t="s">
        <v>33</v>
      </c>
      <c r="O822" t="s">
        <v>52</v>
      </c>
      <c r="P822" t="s">
        <v>26</v>
      </c>
      <c r="Q822">
        <v>799</v>
      </c>
      <c r="R822">
        <v>746</v>
      </c>
    </row>
    <row r="823" spans="1:18">
      <c r="A823" t="s">
        <v>898</v>
      </c>
      <c r="B823" t="s">
        <v>68</v>
      </c>
      <c r="C823" t="s">
        <v>81</v>
      </c>
      <c r="D823" s="8">
        <v>2022</v>
      </c>
      <c r="E823" s="29">
        <v>4</v>
      </c>
      <c r="F823">
        <v>6</v>
      </c>
      <c r="G823">
        <v>128</v>
      </c>
      <c r="H823">
        <v>95</v>
      </c>
      <c r="I823">
        <v>50</v>
      </c>
      <c r="J823">
        <v>6.4</v>
      </c>
      <c r="K823" t="s">
        <v>82</v>
      </c>
      <c r="L823" t="s">
        <v>31</v>
      </c>
      <c r="M823" t="s">
        <v>23</v>
      </c>
      <c r="N823" t="s">
        <v>33</v>
      </c>
      <c r="O823" t="s">
        <v>34</v>
      </c>
      <c r="P823" t="s">
        <v>26</v>
      </c>
      <c r="Q823">
        <v>299</v>
      </c>
      <c r="R823">
        <v>289</v>
      </c>
    </row>
    <row r="824" spans="1:18">
      <c r="A824" t="s">
        <v>899</v>
      </c>
      <c r="B824" t="s">
        <v>73</v>
      </c>
      <c r="C824" t="s">
        <v>105</v>
      </c>
      <c r="D824" s="8">
        <v>2024</v>
      </c>
      <c r="E824" s="29">
        <v>2</v>
      </c>
      <c r="F824">
        <v>12</v>
      </c>
      <c r="G824">
        <v>256</v>
      </c>
      <c r="H824">
        <v>84</v>
      </c>
      <c r="I824">
        <v>108</v>
      </c>
      <c r="J824">
        <v>6.5</v>
      </c>
      <c r="K824" t="s">
        <v>75</v>
      </c>
      <c r="L824" t="s">
        <v>59</v>
      </c>
      <c r="M824" t="s">
        <v>47</v>
      </c>
      <c r="N824" t="s">
        <v>33</v>
      </c>
      <c r="O824" t="s">
        <v>48</v>
      </c>
      <c r="P824" t="s">
        <v>26</v>
      </c>
      <c r="Q824">
        <v>899</v>
      </c>
      <c r="R824">
        <v>766</v>
      </c>
    </row>
    <row r="825" spans="1:18">
      <c r="A825" t="s">
        <v>900</v>
      </c>
      <c r="B825" t="s">
        <v>44</v>
      </c>
      <c r="C825" t="s">
        <v>45</v>
      </c>
      <c r="D825" s="8">
        <v>2024</v>
      </c>
      <c r="E825" s="29">
        <v>2</v>
      </c>
      <c r="F825">
        <v>12</v>
      </c>
      <c r="G825">
        <v>512</v>
      </c>
      <c r="H825">
        <v>91</v>
      </c>
      <c r="I825">
        <v>12</v>
      </c>
      <c r="J825">
        <v>6.7</v>
      </c>
      <c r="K825" t="s">
        <v>46</v>
      </c>
      <c r="L825" t="s">
        <v>31</v>
      </c>
      <c r="M825" t="s">
        <v>32</v>
      </c>
      <c r="N825" t="s">
        <v>24</v>
      </c>
      <c r="O825" t="s">
        <v>41</v>
      </c>
      <c r="P825" t="s">
        <v>35</v>
      </c>
      <c r="Q825">
        <v>799</v>
      </c>
      <c r="R825">
        <v>789</v>
      </c>
    </row>
    <row r="826" spans="1:18">
      <c r="A826" t="s">
        <v>901</v>
      </c>
      <c r="B826" t="s">
        <v>19</v>
      </c>
      <c r="C826" t="s">
        <v>20</v>
      </c>
      <c r="D826" s="8">
        <v>2021</v>
      </c>
      <c r="E826" s="29">
        <v>5</v>
      </c>
      <c r="F826">
        <v>12</v>
      </c>
      <c r="G826">
        <v>128</v>
      </c>
      <c r="H826">
        <v>77</v>
      </c>
      <c r="I826">
        <v>48</v>
      </c>
      <c r="J826">
        <v>6.1</v>
      </c>
      <c r="K826" t="s">
        <v>21</v>
      </c>
      <c r="L826" t="s">
        <v>59</v>
      </c>
      <c r="M826" t="s">
        <v>47</v>
      </c>
      <c r="N826" t="s">
        <v>24</v>
      </c>
      <c r="O826" t="s">
        <v>87</v>
      </c>
      <c r="P826" t="s">
        <v>26</v>
      </c>
      <c r="Q826">
        <v>599</v>
      </c>
      <c r="R826">
        <v>489</v>
      </c>
    </row>
    <row r="827" spans="1:18">
      <c r="A827" t="s">
        <v>902</v>
      </c>
      <c r="B827" t="s">
        <v>77</v>
      </c>
      <c r="C827" t="s">
        <v>78</v>
      </c>
      <c r="D827" s="8">
        <v>2021</v>
      </c>
      <c r="E827" s="29">
        <v>5</v>
      </c>
      <c r="F827">
        <v>12</v>
      </c>
      <c r="G827">
        <v>256</v>
      </c>
      <c r="H827">
        <v>95</v>
      </c>
      <c r="I827">
        <v>108</v>
      </c>
      <c r="J827">
        <v>6.2</v>
      </c>
      <c r="K827" t="s">
        <v>79</v>
      </c>
      <c r="L827" t="s">
        <v>22</v>
      </c>
      <c r="M827" t="s">
        <v>40</v>
      </c>
      <c r="N827" t="s">
        <v>24</v>
      </c>
      <c r="O827" t="s">
        <v>84</v>
      </c>
      <c r="P827" t="s">
        <v>35</v>
      </c>
      <c r="Q827">
        <v>699</v>
      </c>
      <c r="R827">
        <v>520</v>
      </c>
    </row>
    <row r="828" spans="1:18">
      <c r="A828" t="s">
        <v>903</v>
      </c>
      <c r="B828" t="s">
        <v>77</v>
      </c>
      <c r="C828" t="s">
        <v>78</v>
      </c>
      <c r="D828" s="8">
        <v>2020</v>
      </c>
      <c r="E828" s="29">
        <v>6</v>
      </c>
      <c r="F828">
        <v>6</v>
      </c>
      <c r="G828">
        <v>128</v>
      </c>
      <c r="H828">
        <v>87</v>
      </c>
      <c r="I828">
        <v>48</v>
      </c>
      <c r="J828">
        <v>6.67</v>
      </c>
      <c r="K828" t="s">
        <v>79</v>
      </c>
      <c r="L828" t="s">
        <v>22</v>
      </c>
      <c r="M828" t="s">
        <v>60</v>
      </c>
      <c r="N828" t="s">
        <v>33</v>
      </c>
      <c r="O828" t="s">
        <v>87</v>
      </c>
      <c r="P828" t="s">
        <v>35</v>
      </c>
      <c r="Q828">
        <v>699</v>
      </c>
      <c r="R828">
        <v>452</v>
      </c>
    </row>
    <row r="829" spans="1:18">
      <c r="A829" t="s">
        <v>904</v>
      </c>
      <c r="B829" t="s">
        <v>28</v>
      </c>
      <c r="C829" t="s">
        <v>29</v>
      </c>
      <c r="D829" s="8">
        <v>2024</v>
      </c>
      <c r="E829" s="29">
        <v>2</v>
      </c>
      <c r="F829">
        <v>12</v>
      </c>
      <c r="G829">
        <v>256</v>
      </c>
      <c r="H829">
        <v>93</v>
      </c>
      <c r="I829">
        <v>50</v>
      </c>
      <c r="J829">
        <v>6.4</v>
      </c>
      <c r="K829" t="s">
        <v>30</v>
      </c>
      <c r="L829" t="s">
        <v>59</v>
      </c>
      <c r="M829" t="s">
        <v>23</v>
      </c>
      <c r="N829" t="s">
        <v>33</v>
      </c>
      <c r="O829" t="s">
        <v>34</v>
      </c>
      <c r="P829" t="s">
        <v>26</v>
      </c>
      <c r="Q829">
        <v>599</v>
      </c>
      <c r="R829">
        <v>551</v>
      </c>
    </row>
    <row r="830" spans="1:18">
      <c r="A830" t="s">
        <v>905</v>
      </c>
      <c r="B830" t="s">
        <v>44</v>
      </c>
      <c r="C830" t="s">
        <v>45</v>
      </c>
      <c r="D830" s="8">
        <v>2024</v>
      </c>
      <c r="E830" s="29">
        <v>2</v>
      </c>
      <c r="F830">
        <v>6</v>
      </c>
      <c r="G830">
        <v>64</v>
      </c>
      <c r="H830">
        <v>96</v>
      </c>
      <c r="I830">
        <v>12</v>
      </c>
      <c r="J830">
        <v>6.78</v>
      </c>
      <c r="K830" t="s">
        <v>46</v>
      </c>
      <c r="L830" t="s">
        <v>22</v>
      </c>
      <c r="M830" t="s">
        <v>60</v>
      </c>
      <c r="N830" t="s">
        <v>33</v>
      </c>
      <c r="O830" t="s">
        <v>61</v>
      </c>
      <c r="P830" t="s">
        <v>35</v>
      </c>
      <c r="Q830">
        <v>799</v>
      </c>
      <c r="R830">
        <v>527</v>
      </c>
    </row>
    <row r="831" spans="1:18">
      <c r="A831" t="s">
        <v>906</v>
      </c>
      <c r="B831" t="s">
        <v>19</v>
      </c>
      <c r="C831" t="s">
        <v>20</v>
      </c>
      <c r="D831" s="8">
        <v>2023</v>
      </c>
      <c r="E831" s="29">
        <v>3</v>
      </c>
      <c r="F831">
        <v>4</v>
      </c>
      <c r="G831">
        <v>128</v>
      </c>
      <c r="H831">
        <v>94</v>
      </c>
      <c r="I831">
        <v>50</v>
      </c>
      <c r="J831">
        <v>6.2</v>
      </c>
      <c r="K831" t="s">
        <v>21</v>
      </c>
      <c r="L831" t="s">
        <v>22</v>
      </c>
      <c r="M831" t="s">
        <v>86</v>
      </c>
      <c r="N831" t="s">
        <v>33</v>
      </c>
      <c r="O831" t="s">
        <v>41</v>
      </c>
      <c r="P831" t="s">
        <v>26</v>
      </c>
      <c r="Q831">
        <v>599</v>
      </c>
      <c r="R831">
        <v>398</v>
      </c>
    </row>
    <row r="832" spans="1:18">
      <c r="A832" t="s">
        <v>907</v>
      </c>
      <c r="B832" t="s">
        <v>89</v>
      </c>
      <c r="C832" t="s">
        <v>115</v>
      </c>
      <c r="D832" s="8">
        <v>2022</v>
      </c>
      <c r="E832" s="29">
        <v>4</v>
      </c>
      <c r="F832">
        <v>8</v>
      </c>
      <c r="G832">
        <v>512</v>
      </c>
      <c r="H832">
        <v>87</v>
      </c>
      <c r="I832">
        <v>48</v>
      </c>
      <c r="J832">
        <v>6.7</v>
      </c>
      <c r="K832" t="s">
        <v>116</v>
      </c>
      <c r="L832" t="s">
        <v>59</v>
      </c>
      <c r="M832" t="s">
        <v>32</v>
      </c>
      <c r="N832" t="s">
        <v>33</v>
      </c>
      <c r="O832" t="s">
        <v>25</v>
      </c>
      <c r="P832" t="s">
        <v>35</v>
      </c>
      <c r="Q832">
        <v>999</v>
      </c>
      <c r="R832">
        <v>878</v>
      </c>
    </row>
    <row r="833" spans="1:18">
      <c r="A833" t="s">
        <v>908</v>
      </c>
      <c r="B833" t="s">
        <v>54</v>
      </c>
      <c r="C833" t="s">
        <v>55</v>
      </c>
      <c r="D833" s="8">
        <v>2024</v>
      </c>
      <c r="E833" s="29">
        <v>2</v>
      </c>
      <c r="F833">
        <v>6</v>
      </c>
      <c r="G833">
        <v>128</v>
      </c>
      <c r="H833">
        <v>98</v>
      </c>
      <c r="I833">
        <v>108</v>
      </c>
      <c r="J833">
        <v>6.7</v>
      </c>
      <c r="K833" t="s">
        <v>56</v>
      </c>
      <c r="L833" t="s">
        <v>22</v>
      </c>
      <c r="M833" t="s">
        <v>47</v>
      </c>
      <c r="N833" t="s">
        <v>24</v>
      </c>
      <c r="O833" t="s">
        <v>34</v>
      </c>
      <c r="P833" t="s">
        <v>26</v>
      </c>
      <c r="Q833">
        <v>549</v>
      </c>
      <c r="R833">
        <v>418</v>
      </c>
    </row>
    <row r="834" spans="1:18">
      <c r="A834" t="s">
        <v>909</v>
      </c>
      <c r="B834" t="s">
        <v>68</v>
      </c>
      <c r="C834" t="s">
        <v>69</v>
      </c>
      <c r="D834" s="8">
        <v>2023</v>
      </c>
      <c r="E834" s="29">
        <v>3</v>
      </c>
      <c r="F834">
        <v>6</v>
      </c>
      <c r="G834">
        <v>512</v>
      </c>
      <c r="H834">
        <v>83</v>
      </c>
      <c r="I834">
        <v>50</v>
      </c>
      <c r="J834">
        <v>6.7</v>
      </c>
      <c r="K834" t="s">
        <v>70</v>
      </c>
      <c r="L834" t="s">
        <v>59</v>
      </c>
      <c r="M834" t="s">
        <v>47</v>
      </c>
      <c r="N834" t="s">
        <v>24</v>
      </c>
      <c r="O834" t="s">
        <v>52</v>
      </c>
      <c r="P834" t="s">
        <v>26</v>
      </c>
      <c r="Q834">
        <v>399</v>
      </c>
      <c r="R834">
        <v>389</v>
      </c>
    </row>
    <row r="835" spans="1:18">
      <c r="A835" t="s">
        <v>910</v>
      </c>
      <c r="B835" t="s">
        <v>77</v>
      </c>
      <c r="C835" t="s">
        <v>78</v>
      </c>
      <c r="D835" s="8">
        <v>2021</v>
      </c>
      <c r="E835" s="29">
        <v>5</v>
      </c>
      <c r="F835">
        <v>4</v>
      </c>
      <c r="G835">
        <v>256</v>
      </c>
      <c r="H835">
        <v>76</v>
      </c>
      <c r="I835">
        <v>12</v>
      </c>
      <c r="J835">
        <v>6.67</v>
      </c>
      <c r="K835" t="s">
        <v>79</v>
      </c>
      <c r="L835" t="s">
        <v>31</v>
      </c>
      <c r="M835" t="s">
        <v>47</v>
      </c>
      <c r="N835" t="s">
        <v>33</v>
      </c>
      <c r="O835" t="s">
        <v>52</v>
      </c>
      <c r="P835" t="s">
        <v>26</v>
      </c>
      <c r="Q835">
        <v>699</v>
      </c>
      <c r="R835">
        <v>646</v>
      </c>
    </row>
    <row r="836" spans="1:18">
      <c r="A836" t="s">
        <v>911</v>
      </c>
      <c r="B836" t="s">
        <v>44</v>
      </c>
      <c r="C836" t="s">
        <v>45</v>
      </c>
      <c r="D836" s="8">
        <v>2023</v>
      </c>
      <c r="E836" s="29">
        <v>3</v>
      </c>
      <c r="F836">
        <v>8</v>
      </c>
      <c r="G836">
        <v>64</v>
      </c>
      <c r="H836">
        <v>94</v>
      </c>
      <c r="I836">
        <v>108</v>
      </c>
      <c r="J836">
        <v>6.4</v>
      </c>
      <c r="K836" t="s">
        <v>46</v>
      </c>
      <c r="L836" t="s">
        <v>22</v>
      </c>
      <c r="M836" t="s">
        <v>23</v>
      </c>
      <c r="N836" t="s">
        <v>33</v>
      </c>
      <c r="O836" t="s">
        <v>48</v>
      </c>
      <c r="P836" t="s">
        <v>26</v>
      </c>
      <c r="Q836">
        <v>799</v>
      </c>
      <c r="R836">
        <v>525</v>
      </c>
    </row>
    <row r="837" spans="1:18">
      <c r="A837" t="s">
        <v>912</v>
      </c>
      <c r="B837" t="s">
        <v>54</v>
      </c>
      <c r="C837" t="s">
        <v>55</v>
      </c>
      <c r="D837" s="8">
        <v>2022</v>
      </c>
      <c r="E837" s="29">
        <v>4</v>
      </c>
      <c r="F837">
        <v>4</v>
      </c>
      <c r="G837">
        <v>128</v>
      </c>
      <c r="H837">
        <v>77</v>
      </c>
      <c r="I837">
        <v>64</v>
      </c>
      <c r="J837">
        <v>6.7</v>
      </c>
      <c r="K837" t="s">
        <v>56</v>
      </c>
      <c r="L837" t="s">
        <v>57</v>
      </c>
      <c r="M837" t="s">
        <v>40</v>
      </c>
      <c r="N837" t="s">
        <v>33</v>
      </c>
      <c r="O837" t="s">
        <v>34</v>
      </c>
      <c r="P837" t="s">
        <v>26</v>
      </c>
      <c r="Q837">
        <v>549</v>
      </c>
      <c r="R837">
        <v>273</v>
      </c>
    </row>
    <row r="838" spans="1:18">
      <c r="A838" t="s">
        <v>913</v>
      </c>
      <c r="B838" t="s">
        <v>68</v>
      </c>
      <c r="C838" t="s">
        <v>81</v>
      </c>
      <c r="D838" s="8">
        <v>2021</v>
      </c>
      <c r="E838" s="29">
        <v>5</v>
      </c>
      <c r="F838">
        <v>6</v>
      </c>
      <c r="G838">
        <v>64</v>
      </c>
      <c r="H838">
        <v>91</v>
      </c>
      <c r="I838">
        <v>50</v>
      </c>
      <c r="J838">
        <v>6.5</v>
      </c>
      <c r="K838" t="s">
        <v>82</v>
      </c>
      <c r="L838" t="s">
        <v>22</v>
      </c>
      <c r="M838" t="s">
        <v>60</v>
      </c>
      <c r="N838" t="s">
        <v>33</v>
      </c>
      <c r="O838" t="s">
        <v>41</v>
      </c>
      <c r="P838" t="s">
        <v>26</v>
      </c>
      <c r="Q838">
        <v>299</v>
      </c>
      <c r="R838">
        <v>206</v>
      </c>
    </row>
    <row r="839" spans="1:18">
      <c r="A839" t="s">
        <v>914</v>
      </c>
      <c r="B839" t="s">
        <v>77</v>
      </c>
      <c r="C839" t="s">
        <v>78</v>
      </c>
      <c r="D839" s="8">
        <v>2024</v>
      </c>
      <c r="E839" s="29">
        <v>2</v>
      </c>
      <c r="F839">
        <v>8</v>
      </c>
      <c r="G839">
        <v>256</v>
      </c>
      <c r="H839">
        <v>84</v>
      </c>
      <c r="I839">
        <v>50</v>
      </c>
      <c r="J839">
        <v>6.67</v>
      </c>
      <c r="K839" t="s">
        <v>79</v>
      </c>
      <c r="L839" t="s">
        <v>57</v>
      </c>
      <c r="M839" t="s">
        <v>60</v>
      </c>
      <c r="N839" t="s">
        <v>33</v>
      </c>
      <c r="O839" t="s">
        <v>84</v>
      </c>
      <c r="P839" t="s">
        <v>26</v>
      </c>
      <c r="Q839">
        <v>699</v>
      </c>
      <c r="R839">
        <v>404</v>
      </c>
    </row>
    <row r="840" spans="1:18">
      <c r="A840" t="s">
        <v>915</v>
      </c>
      <c r="B840" t="s">
        <v>19</v>
      </c>
      <c r="C840" t="s">
        <v>20</v>
      </c>
      <c r="D840" s="8">
        <v>2022</v>
      </c>
      <c r="E840" s="29">
        <v>4</v>
      </c>
      <c r="F840">
        <v>12</v>
      </c>
      <c r="G840">
        <v>128</v>
      </c>
      <c r="H840">
        <v>91</v>
      </c>
      <c r="I840">
        <v>108</v>
      </c>
      <c r="J840">
        <v>6.2</v>
      </c>
      <c r="K840" t="s">
        <v>21</v>
      </c>
      <c r="L840" t="s">
        <v>31</v>
      </c>
      <c r="M840" t="s">
        <v>86</v>
      </c>
      <c r="N840" t="s">
        <v>33</v>
      </c>
      <c r="O840" t="s">
        <v>84</v>
      </c>
      <c r="P840" t="s">
        <v>35</v>
      </c>
      <c r="Q840">
        <v>599</v>
      </c>
      <c r="R840">
        <v>564</v>
      </c>
    </row>
    <row r="841" spans="1:18">
      <c r="A841" t="s">
        <v>916</v>
      </c>
      <c r="B841" t="s">
        <v>73</v>
      </c>
      <c r="C841" t="s">
        <v>105</v>
      </c>
      <c r="D841" s="8">
        <v>2020</v>
      </c>
      <c r="E841" s="29">
        <v>6</v>
      </c>
      <c r="F841">
        <v>12</v>
      </c>
      <c r="G841">
        <v>512</v>
      </c>
      <c r="H841">
        <v>81</v>
      </c>
      <c r="I841">
        <v>64</v>
      </c>
      <c r="J841">
        <v>6.5</v>
      </c>
      <c r="K841" t="s">
        <v>75</v>
      </c>
      <c r="L841" t="s">
        <v>57</v>
      </c>
      <c r="M841" t="s">
        <v>86</v>
      </c>
      <c r="N841" t="s">
        <v>24</v>
      </c>
      <c r="O841" t="s">
        <v>25</v>
      </c>
      <c r="P841" t="s">
        <v>26</v>
      </c>
      <c r="Q841">
        <v>899</v>
      </c>
      <c r="R841">
        <v>529</v>
      </c>
    </row>
    <row r="842" spans="1:18">
      <c r="A842" t="s">
        <v>917</v>
      </c>
      <c r="B842" t="s">
        <v>73</v>
      </c>
      <c r="C842" t="s">
        <v>105</v>
      </c>
      <c r="D842" s="8">
        <v>2022</v>
      </c>
      <c r="E842" s="29">
        <v>4</v>
      </c>
      <c r="F842">
        <v>12</v>
      </c>
      <c r="G842">
        <v>512</v>
      </c>
      <c r="H842">
        <v>92</v>
      </c>
      <c r="I842">
        <v>50</v>
      </c>
      <c r="J842">
        <v>6.4</v>
      </c>
      <c r="K842" t="s">
        <v>75</v>
      </c>
      <c r="L842" t="s">
        <v>31</v>
      </c>
      <c r="M842" t="s">
        <v>86</v>
      </c>
      <c r="N842" t="s">
        <v>24</v>
      </c>
      <c r="O842" t="s">
        <v>41</v>
      </c>
      <c r="P842" t="s">
        <v>26</v>
      </c>
      <c r="Q842">
        <v>899</v>
      </c>
      <c r="R842">
        <v>889</v>
      </c>
    </row>
    <row r="843" spans="1:18">
      <c r="A843" t="s">
        <v>918</v>
      </c>
      <c r="B843" t="s">
        <v>28</v>
      </c>
      <c r="C843" t="s">
        <v>29</v>
      </c>
      <c r="D843" s="8">
        <v>2021</v>
      </c>
      <c r="E843" s="29">
        <v>5</v>
      </c>
      <c r="F843">
        <v>6</v>
      </c>
      <c r="G843">
        <v>256</v>
      </c>
      <c r="H843">
        <v>97</v>
      </c>
      <c r="I843">
        <v>108</v>
      </c>
      <c r="J843">
        <v>6.5</v>
      </c>
      <c r="K843" t="s">
        <v>30</v>
      </c>
      <c r="L843" t="s">
        <v>57</v>
      </c>
      <c r="M843" t="s">
        <v>47</v>
      </c>
      <c r="N843" t="s">
        <v>24</v>
      </c>
      <c r="O843" t="s">
        <v>25</v>
      </c>
      <c r="P843" t="s">
        <v>26</v>
      </c>
      <c r="Q843">
        <v>599</v>
      </c>
      <c r="R843">
        <v>339</v>
      </c>
    </row>
    <row r="844" spans="1:18">
      <c r="A844" t="s">
        <v>919</v>
      </c>
      <c r="B844" t="s">
        <v>44</v>
      </c>
      <c r="C844" t="s">
        <v>45</v>
      </c>
      <c r="D844" s="8">
        <v>2021</v>
      </c>
      <c r="E844" s="29">
        <v>5</v>
      </c>
      <c r="F844">
        <v>8</v>
      </c>
      <c r="G844">
        <v>128</v>
      </c>
      <c r="H844">
        <v>78</v>
      </c>
      <c r="I844">
        <v>50</v>
      </c>
      <c r="J844">
        <v>6.67</v>
      </c>
      <c r="K844" t="s">
        <v>46</v>
      </c>
      <c r="L844" t="s">
        <v>59</v>
      </c>
      <c r="M844" t="s">
        <v>32</v>
      </c>
      <c r="N844" t="s">
        <v>24</v>
      </c>
      <c r="O844" t="s">
        <v>87</v>
      </c>
      <c r="P844" t="s">
        <v>26</v>
      </c>
      <c r="Q844">
        <v>799</v>
      </c>
      <c r="R844">
        <v>672</v>
      </c>
    </row>
    <row r="845" spans="1:18">
      <c r="A845" t="s">
        <v>920</v>
      </c>
      <c r="B845" t="s">
        <v>77</v>
      </c>
      <c r="C845" t="s">
        <v>78</v>
      </c>
      <c r="D845" s="8">
        <v>2024</v>
      </c>
      <c r="E845" s="29">
        <v>2</v>
      </c>
      <c r="F845">
        <v>6</v>
      </c>
      <c r="G845">
        <v>256</v>
      </c>
      <c r="H845">
        <v>80</v>
      </c>
      <c r="I845">
        <v>64</v>
      </c>
      <c r="J845">
        <v>6.7</v>
      </c>
      <c r="K845" t="s">
        <v>79</v>
      </c>
      <c r="L845" t="s">
        <v>22</v>
      </c>
      <c r="M845" t="s">
        <v>32</v>
      </c>
      <c r="N845" t="s">
        <v>24</v>
      </c>
      <c r="O845" t="s">
        <v>25</v>
      </c>
      <c r="P845" t="s">
        <v>26</v>
      </c>
      <c r="Q845">
        <v>699</v>
      </c>
      <c r="R845">
        <v>518</v>
      </c>
    </row>
    <row r="846" spans="1:18">
      <c r="A846" t="s">
        <v>921</v>
      </c>
      <c r="B846" t="s">
        <v>68</v>
      </c>
      <c r="C846" t="s">
        <v>69</v>
      </c>
      <c r="D846" s="8">
        <v>2024</v>
      </c>
      <c r="E846" s="29">
        <v>2</v>
      </c>
      <c r="F846">
        <v>4</v>
      </c>
      <c r="G846">
        <v>64</v>
      </c>
      <c r="H846">
        <v>79</v>
      </c>
      <c r="I846">
        <v>50</v>
      </c>
      <c r="J846">
        <v>6.78</v>
      </c>
      <c r="K846" t="s">
        <v>70</v>
      </c>
      <c r="L846" t="s">
        <v>59</v>
      </c>
      <c r="M846" t="s">
        <v>32</v>
      </c>
      <c r="N846" t="s">
        <v>33</v>
      </c>
      <c r="O846" t="s">
        <v>87</v>
      </c>
      <c r="P846" t="s">
        <v>35</v>
      </c>
      <c r="Q846">
        <v>399</v>
      </c>
      <c r="R846">
        <v>323</v>
      </c>
    </row>
    <row r="847" spans="1:18">
      <c r="A847" t="s">
        <v>922</v>
      </c>
      <c r="B847" t="s">
        <v>54</v>
      </c>
      <c r="C847" t="s">
        <v>55</v>
      </c>
      <c r="D847" s="8">
        <v>2023</v>
      </c>
      <c r="E847" s="29">
        <v>3</v>
      </c>
      <c r="F847">
        <v>4</v>
      </c>
      <c r="G847">
        <v>256</v>
      </c>
      <c r="H847">
        <v>90</v>
      </c>
      <c r="I847">
        <v>64</v>
      </c>
      <c r="J847">
        <v>6.4</v>
      </c>
      <c r="K847" t="s">
        <v>56</v>
      </c>
      <c r="L847" t="s">
        <v>57</v>
      </c>
      <c r="M847" t="s">
        <v>86</v>
      </c>
      <c r="N847" t="s">
        <v>33</v>
      </c>
      <c r="O847" t="s">
        <v>25</v>
      </c>
      <c r="P847" t="s">
        <v>35</v>
      </c>
      <c r="Q847">
        <v>549</v>
      </c>
      <c r="R847">
        <v>326</v>
      </c>
    </row>
    <row r="848" spans="1:18">
      <c r="A848" t="s">
        <v>923</v>
      </c>
      <c r="B848" t="s">
        <v>77</v>
      </c>
      <c r="C848" t="s">
        <v>78</v>
      </c>
      <c r="D848" s="8">
        <v>2023</v>
      </c>
      <c r="E848" s="29">
        <v>3</v>
      </c>
      <c r="F848">
        <v>8</v>
      </c>
      <c r="G848">
        <v>512</v>
      </c>
      <c r="H848">
        <v>90</v>
      </c>
      <c r="I848">
        <v>48</v>
      </c>
      <c r="J848">
        <v>6.7</v>
      </c>
      <c r="K848" t="s">
        <v>79</v>
      </c>
      <c r="L848" t="s">
        <v>22</v>
      </c>
      <c r="M848" t="s">
        <v>86</v>
      </c>
      <c r="N848" t="s">
        <v>24</v>
      </c>
      <c r="O848" t="s">
        <v>52</v>
      </c>
      <c r="P848" t="s">
        <v>35</v>
      </c>
      <c r="Q848">
        <v>699</v>
      </c>
      <c r="R848">
        <v>589</v>
      </c>
    </row>
    <row r="849" spans="1:18">
      <c r="A849" t="s">
        <v>924</v>
      </c>
      <c r="B849" t="s">
        <v>19</v>
      </c>
      <c r="C849" t="s">
        <v>20</v>
      </c>
      <c r="D849" s="8">
        <v>2021</v>
      </c>
      <c r="E849" s="29">
        <v>5</v>
      </c>
      <c r="F849">
        <v>8</v>
      </c>
      <c r="G849">
        <v>128</v>
      </c>
      <c r="H849">
        <v>78</v>
      </c>
      <c r="I849">
        <v>108</v>
      </c>
      <c r="J849">
        <v>6.5</v>
      </c>
      <c r="K849" t="s">
        <v>21</v>
      </c>
      <c r="L849" t="s">
        <v>59</v>
      </c>
      <c r="M849" t="s">
        <v>47</v>
      </c>
      <c r="N849" t="s">
        <v>33</v>
      </c>
      <c r="O849" t="s">
        <v>48</v>
      </c>
      <c r="P849" t="s">
        <v>26</v>
      </c>
      <c r="Q849">
        <v>599</v>
      </c>
      <c r="R849">
        <v>508</v>
      </c>
    </row>
    <row r="850" spans="1:18">
      <c r="A850" t="s">
        <v>925</v>
      </c>
      <c r="B850" t="s">
        <v>19</v>
      </c>
      <c r="C850" t="s">
        <v>20</v>
      </c>
      <c r="D850" s="8">
        <v>2023</v>
      </c>
      <c r="E850" s="29">
        <v>3</v>
      </c>
      <c r="F850">
        <v>4</v>
      </c>
      <c r="G850">
        <v>512</v>
      </c>
      <c r="H850">
        <v>83</v>
      </c>
      <c r="I850">
        <v>12</v>
      </c>
      <c r="J850">
        <v>6.1</v>
      </c>
      <c r="K850" t="s">
        <v>21</v>
      </c>
      <c r="L850" t="s">
        <v>59</v>
      </c>
      <c r="M850" t="s">
        <v>32</v>
      </c>
      <c r="N850" t="s">
        <v>24</v>
      </c>
      <c r="O850" t="s">
        <v>52</v>
      </c>
      <c r="P850" t="s">
        <v>35</v>
      </c>
      <c r="Q850">
        <v>599</v>
      </c>
      <c r="R850">
        <v>541</v>
      </c>
    </row>
    <row r="851" spans="1:18">
      <c r="A851" t="s">
        <v>926</v>
      </c>
      <c r="B851" t="s">
        <v>19</v>
      </c>
      <c r="C851" t="s">
        <v>20</v>
      </c>
      <c r="D851" s="8">
        <v>2021</v>
      </c>
      <c r="E851" s="29">
        <v>5</v>
      </c>
      <c r="F851">
        <v>8</v>
      </c>
      <c r="G851">
        <v>128</v>
      </c>
      <c r="H851">
        <v>94</v>
      </c>
      <c r="I851">
        <v>108</v>
      </c>
      <c r="J851">
        <v>6.78</v>
      </c>
      <c r="K851" t="s">
        <v>21</v>
      </c>
      <c r="L851" t="s">
        <v>22</v>
      </c>
      <c r="M851" t="s">
        <v>60</v>
      </c>
      <c r="N851" t="s">
        <v>24</v>
      </c>
      <c r="O851" t="s">
        <v>34</v>
      </c>
      <c r="P851" t="s">
        <v>35</v>
      </c>
      <c r="Q851">
        <v>599</v>
      </c>
      <c r="R851">
        <v>441</v>
      </c>
    </row>
    <row r="852" spans="1:18">
      <c r="A852" t="s">
        <v>927</v>
      </c>
      <c r="B852" t="s">
        <v>64</v>
      </c>
      <c r="C852" t="s">
        <v>65</v>
      </c>
      <c r="D852" s="8">
        <v>2020</v>
      </c>
      <c r="E852" s="29">
        <v>6</v>
      </c>
      <c r="F852">
        <v>4</v>
      </c>
      <c r="G852">
        <v>256</v>
      </c>
      <c r="H852">
        <v>100</v>
      </c>
      <c r="I852">
        <v>12</v>
      </c>
      <c r="J852">
        <v>6.1</v>
      </c>
      <c r="K852" t="s">
        <v>66</v>
      </c>
      <c r="L852" t="s">
        <v>59</v>
      </c>
      <c r="M852" t="s">
        <v>40</v>
      </c>
      <c r="N852" t="s">
        <v>24</v>
      </c>
      <c r="O852" t="s">
        <v>84</v>
      </c>
      <c r="P852" t="s">
        <v>26</v>
      </c>
      <c r="Q852">
        <v>499</v>
      </c>
      <c r="R852">
        <v>450</v>
      </c>
    </row>
    <row r="853" spans="1:18">
      <c r="A853" t="s">
        <v>928</v>
      </c>
      <c r="B853" t="s">
        <v>89</v>
      </c>
      <c r="C853" t="s">
        <v>90</v>
      </c>
      <c r="D853" s="8">
        <v>2021</v>
      </c>
      <c r="E853" s="29">
        <v>5</v>
      </c>
      <c r="F853">
        <v>12</v>
      </c>
      <c r="G853">
        <v>128</v>
      </c>
      <c r="H853">
        <v>81</v>
      </c>
      <c r="I853">
        <v>50</v>
      </c>
      <c r="J853">
        <v>6.7</v>
      </c>
      <c r="K853" t="s">
        <v>91</v>
      </c>
      <c r="L853" t="s">
        <v>57</v>
      </c>
      <c r="M853" t="s">
        <v>60</v>
      </c>
      <c r="N853" t="s">
        <v>33</v>
      </c>
      <c r="O853" t="s">
        <v>61</v>
      </c>
      <c r="P853" t="s">
        <v>26</v>
      </c>
      <c r="Q853">
        <v>449</v>
      </c>
      <c r="R853">
        <v>294</v>
      </c>
    </row>
    <row r="854" spans="1:18">
      <c r="A854" t="s">
        <v>929</v>
      </c>
      <c r="B854" t="s">
        <v>19</v>
      </c>
      <c r="C854" t="s">
        <v>20</v>
      </c>
      <c r="D854" s="8">
        <v>2024</v>
      </c>
      <c r="E854" s="29">
        <v>2</v>
      </c>
      <c r="F854">
        <v>8</v>
      </c>
      <c r="G854">
        <v>64</v>
      </c>
      <c r="H854">
        <v>88</v>
      </c>
      <c r="I854">
        <v>48</v>
      </c>
      <c r="J854">
        <v>6.67</v>
      </c>
      <c r="K854" t="s">
        <v>21</v>
      </c>
      <c r="L854" t="s">
        <v>22</v>
      </c>
      <c r="M854" t="s">
        <v>40</v>
      </c>
      <c r="N854" t="s">
        <v>24</v>
      </c>
      <c r="O854" t="s">
        <v>48</v>
      </c>
      <c r="P854" t="s">
        <v>26</v>
      </c>
      <c r="Q854">
        <v>599</v>
      </c>
      <c r="R854">
        <v>424</v>
      </c>
    </row>
    <row r="855" spans="1:18">
      <c r="A855" t="s">
        <v>930</v>
      </c>
      <c r="B855" t="s">
        <v>54</v>
      </c>
      <c r="C855" t="s">
        <v>55</v>
      </c>
      <c r="D855" s="8">
        <v>2020</v>
      </c>
      <c r="E855" s="29">
        <v>6</v>
      </c>
      <c r="F855">
        <v>4</v>
      </c>
      <c r="G855">
        <v>256</v>
      </c>
      <c r="H855">
        <v>97</v>
      </c>
      <c r="I855">
        <v>48</v>
      </c>
      <c r="J855">
        <v>6.4</v>
      </c>
      <c r="K855" t="s">
        <v>56</v>
      </c>
      <c r="L855" t="s">
        <v>57</v>
      </c>
      <c r="M855" t="s">
        <v>23</v>
      </c>
      <c r="N855" t="s">
        <v>33</v>
      </c>
      <c r="O855" t="s">
        <v>25</v>
      </c>
      <c r="P855" t="s">
        <v>35</v>
      </c>
      <c r="Q855">
        <v>549</v>
      </c>
      <c r="R855">
        <v>317</v>
      </c>
    </row>
    <row r="856" spans="1:18">
      <c r="A856" t="s">
        <v>931</v>
      </c>
      <c r="B856" t="s">
        <v>54</v>
      </c>
      <c r="C856" t="s">
        <v>55</v>
      </c>
      <c r="D856" s="8">
        <v>2020</v>
      </c>
      <c r="E856" s="29">
        <v>6</v>
      </c>
      <c r="F856">
        <v>12</v>
      </c>
      <c r="G856">
        <v>256</v>
      </c>
      <c r="H856">
        <v>85</v>
      </c>
      <c r="I856">
        <v>50</v>
      </c>
      <c r="J856">
        <v>6.78</v>
      </c>
      <c r="K856" t="s">
        <v>56</v>
      </c>
      <c r="L856" t="s">
        <v>59</v>
      </c>
      <c r="M856" t="s">
        <v>86</v>
      </c>
      <c r="N856" t="s">
        <v>24</v>
      </c>
      <c r="O856" t="s">
        <v>25</v>
      </c>
      <c r="P856" t="s">
        <v>26</v>
      </c>
      <c r="Q856">
        <v>549</v>
      </c>
      <c r="R856">
        <v>507</v>
      </c>
    </row>
    <row r="857" spans="1:18">
      <c r="A857" t="s">
        <v>932</v>
      </c>
      <c r="B857" t="s">
        <v>54</v>
      </c>
      <c r="C857" t="s">
        <v>55</v>
      </c>
      <c r="D857" s="8">
        <v>2020</v>
      </c>
      <c r="E857" s="29">
        <v>6</v>
      </c>
      <c r="F857">
        <v>12</v>
      </c>
      <c r="G857">
        <v>64</v>
      </c>
      <c r="H857">
        <v>90</v>
      </c>
      <c r="I857">
        <v>64</v>
      </c>
      <c r="J857">
        <v>6.67</v>
      </c>
      <c r="K857" t="s">
        <v>56</v>
      </c>
      <c r="L857" t="s">
        <v>22</v>
      </c>
      <c r="M857" t="s">
        <v>86</v>
      </c>
      <c r="N857" t="s">
        <v>33</v>
      </c>
      <c r="O857" t="s">
        <v>48</v>
      </c>
      <c r="P857" t="s">
        <v>35</v>
      </c>
      <c r="Q857">
        <v>549</v>
      </c>
      <c r="R857">
        <v>393</v>
      </c>
    </row>
    <row r="858" spans="1:18">
      <c r="A858" t="s">
        <v>933</v>
      </c>
      <c r="B858" t="s">
        <v>44</v>
      </c>
      <c r="C858" t="s">
        <v>45</v>
      </c>
      <c r="D858" s="8">
        <v>2024</v>
      </c>
      <c r="E858" s="29">
        <v>2</v>
      </c>
      <c r="F858">
        <v>6</v>
      </c>
      <c r="G858">
        <v>512</v>
      </c>
      <c r="H858">
        <v>80</v>
      </c>
      <c r="I858">
        <v>64</v>
      </c>
      <c r="J858">
        <v>6.5</v>
      </c>
      <c r="K858" t="s">
        <v>46</v>
      </c>
      <c r="L858" t="s">
        <v>22</v>
      </c>
      <c r="M858" t="s">
        <v>86</v>
      </c>
      <c r="N858" t="s">
        <v>33</v>
      </c>
      <c r="O858" t="s">
        <v>61</v>
      </c>
      <c r="P858" t="s">
        <v>35</v>
      </c>
      <c r="Q858">
        <v>799</v>
      </c>
      <c r="R858">
        <v>579</v>
      </c>
    </row>
    <row r="859" spans="1:18">
      <c r="A859" t="s">
        <v>934</v>
      </c>
      <c r="B859" t="s">
        <v>54</v>
      </c>
      <c r="C859" t="s">
        <v>55</v>
      </c>
      <c r="D859" s="8">
        <v>2023</v>
      </c>
      <c r="E859" s="29">
        <v>3</v>
      </c>
      <c r="F859">
        <v>8</v>
      </c>
      <c r="G859">
        <v>512</v>
      </c>
      <c r="H859">
        <v>82</v>
      </c>
      <c r="I859">
        <v>48</v>
      </c>
      <c r="J859">
        <v>6.5</v>
      </c>
      <c r="K859" t="s">
        <v>56</v>
      </c>
      <c r="L859" t="s">
        <v>57</v>
      </c>
      <c r="M859" t="s">
        <v>86</v>
      </c>
      <c r="N859" t="s">
        <v>24</v>
      </c>
      <c r="O859" t="s">
        <v>52</v>
      </c>
      <c r="P859" t="s">
        <v>26</v>
      </c>
      <c r="Q859">
        <v>549</v>
      </c>
      <c r="R859">
        <v>367</v>
      </c>
    </row>
    <row r="860" spans="1:18">
      <c r="A860" t="s">
        <v>935</v>
      </c>
      <c r="B860" t="s">
        <v>19</v>
      </c>
      <c r="C860" t="s">
        <v>20</v>
      </c>
      <c r="D860" s="8">
        <v>2024</v>
      </c>
      <c r="E860" s="29">
        <v>2</v>
      </c>
      <c r="F860">
        <v>4</v>
      </c>
      <c r="G860">
        <v>64</v>
      </c>
      <c r="H860">
        <v>94</v>
      </c>
      <c r="I860">
        <v>50</v>
      </c>
      <c r="J860">
        <v>6.67</v>
      </c>
      <c r="K860" t="s">
        <v>21</v>
      </c>
      <c r="L860" t="s">
        <v>59</v>
      </c>
      <c r="M860" t="s">
        <v>86</v>
      </c>
      <c r="N860" t="s">
        <v>33</v>
      </c>
      <c r="O860" t="s">
        <v>41</v>
      </c>
      <c r="P860" t="s">
        <v>35</v>
      </c>
      <c r="Q860">
        <v>599</v>
      </c>
      <c r="R860">
        <v>513</v>
      </c>
    </row>
    <row r="861" spans="1:18">
      <c r="A861" t="s">
        <v>936</v>
      </c>
      <c r="B861" t="s">
        <v>37</v>
      </c>
      <c r="C861" t="s">
        <v>38</v>
      </c>
      <c r="D861" s="8">
        <v>2020</v>
      </c>
      <c r="E861" s="29">
        <v>6</v>
      </c>
      <c r="F861">
        <v>12</v>
      </c>
      <c r="G861">
        <v>256</v>
      </c>
      <c r="H861">
        <v>77</v>
      </c>
      <c r="I861">
        <v>108</v>
      </c>
      <c r="J861">
        <v>6.67</v>
      </c>
      <c r="K861" t="s">
        <v>39</v>
      </c>
      <c r="L861" t="s">
        <v>22</v>
      </c>
      <c r="M861" t="s">
        <v>32</v>
      </c>
      <c r="N861" t="s">
        <v>33</v>
      </c>
      <c r="O861" t="s">
        <v>52</v>
      </c>
      <c r="P861" t="s">
        <v>35</v>
      </c>
      <c r="Q861">
        <v>599</v>
      </c>
      <c r="R861">
        <v>473</v>
      </c>
    </row>
    <row r="862" spans="1:18">
      <c r="A862" t="s">
        <v>937</v>
      </c>
      <c r="B862" t="s">
        <v>54</v>
      </c>
      <c r="C862" t="s">
        <v>55</v>
      </c>
      <c r="D862" s="8">
        <v>2021</v>
      </c>
      <c r="E862" s="29">
        <v>5</v>
      </c>
      <c r="F862">
        <v>4</v>
      </c>
      <c r="G862">
        <v>128</v>
      </c>
      <c r="H862">
        <v>79</v>
      </c>
      <c r="I862">
        <v>50</v>
      </c>
      <c r="J862">
        <v>6.4</v>
      </c>
      <c r="K862" t="s">
        <v>56</v>
      </c>
      <c r="L862" t="s">
        <v>59</v>
      </c>
      <c r="M862" t="s">
        <v>86</v>
      </c>
      <c r="N862" t="s">
        <v>24</v>
      </c>
      <c r="O862" t="s">
        <v>52</v>
      </c>
      <c r="P862" t="s">
        <v>26</v>
      </c>
      <c r="Q862">
        <v>549</v>
      </c>
      <c r="R862">
        <v>438</v>
      </c>
    </row>
    <row r="863" spans="1:18">
      <c r="A863" t="s">
        <v>938</v>
      </c>
      <c r="B863" t="s">
        <v>28</v>
      </c>
      <c r="C863" t="s">
        <v>29</v>
      </c>
      <c r="D863" s="8">
        <v>2021</v>
      </c>
      <c r="E863" s="29">
        <v>5</v>
      </c>
      <c r="F863">
        <v>8</v>
      </c>
      <c r="G863">
        <v>256</v>
      </c>
      <c r="H863">
        <v>93</v>
      </c>
      <c r="I863">
        <v>64</v>
      </c>
      <c r="J863">
        <v>6.67</v>
      </c>
      <c r="K863" t="s">
        <v>30</v>
      </c>
      <c r="L863" t="s">
        <v>59</v>
      </c>
      <c r="M863" t="s">
        <v>60</v>
      </c>
      <c r="N863" t="s">
        <v>33</v>
      </c>
      <c r="O863" t="s">
        <v>52</v>
      </c>
      <c r="P863" t="s">
        <v>26</v>
      </c>
      <c r="Q863">
        <v>599</v>
      </c>
      <c r="R863">
        <v>517</v>
      </c>
    </row>
    <row r="864" spans="1:18">
      <c r="A864" t="s">
        <v>939</v>
      </c>
      <c r="B864" t="s">
        <v>64</v>
      </c>
      <c r="C864" t="s">
        <v>65</v>
      </c>
      <c r="D864" s="8">
        <v>2020</v>
      </c>
      <c r="E864" s="29">
        <v>6</v>
      </c>
      <c r="F864">
        <v>12</v>
      </c>
      <c r="G864">
        <v>128</v>
      </c>
      <c r="H864">
        <v>93</v>
      </c>
      <c r="I864">
        <v>12</v>
      </c>
      <c r="J864">
        <v>6.67</v>
      </c>
      <c r="K864" t="s">
        <v>66</v>
      </c>
      <c r="L864" t="s">
        <v>57</v>
      </c>
      <c r="M864" t="s">
        <v>23</v>
      </c>
      <c r="N864" t="s">
        <v>24</v>
      </c>
      <c r="O864" t="s">
        <v>87</v>
      </c>
      <c r="P864" t="s">
        <v>26</v>
      </c>
      <c r="Q864">
        <v>499</v>
      </c>
      <c r="R864">
        <v>323</v>
      </c>
    </row>
    <row r="865" spans="1:18">
      <c r="A865" t="s">
        <v>940</v>
      </c>
      <c r="B865" t="s">
        <v>28</v>
      </c>
      <c r="C865" t="s">
        <v>29</v>
      </c>
      <c r="D865" s="8">
        <v>2023</v>
      </c>
      <c r="E865" s="29">
        <v>3</v>
      </c>
      <c r="F865">
        <v>8</v>
      </c>
      <c r="G865">
        <v>128</v>
      </c>
      <c r="H865">
        <v>84</v>
      </c>
      <c r="I865">
        <v>64</v>
      </c>
      <c r="J865">
        <v>6.5</v>
      </c>
      <c r="K865" t="s">
        <v>30</v>
      </c>
      <c r="L865" t="s">
        <v>57</v>
      </c>
      <c r="M865" t="s">
        <v>47</v>
      </c>
      <c r="N865" t="s">
        <v>24</v>
      </c>
      <c r="O865" t="s">
        <v>34</v>
      </c>
      <c r="P865" t="s">
        <v>26</v>
      </c>
      <c r="Q865">
        <v>599</v>
      </c>
      <c r="R865">
        <v>331</v>
      </c>
    </row>
    <row r="866" spans="1:18">
      <c r="A866" t="s">
        <v>941</v>
      </c>
      <c r="B866" t="s">
        <v>54</v>
      </c>
      <c r="C866" t="s">
        <v>55</v>
      </c>
      <c r="D866" s="8">
        <v>2021</v>
      </c>
      <c r="E866" s="29">
        <v>5</v>
      </c>
      <c r="F866">
        <v>4</v>
      </c>
      <c r="G866">
        <v>128</v>
      </c>
      <c r="H866">
        <v>88</v>
      </c>
      <c r="I866">
        <v>50</v>
      </c>
      <c r="J866">
        <v>6.4</v>
      </c>
      <c r="K866" t="s">
        <v>56</v>
      </c>
      <c r="L866" t="s">
        <v>22</v>
      </c>
      <c r="M866" t="s">
        <v>60</v>
      </c>
      <c r="N866" t="s">
        <v>33</v>
      </c>
      <c r="O866" t="s">
        <v>61</v>
      </c>
      <c r="P866" t="s">
        <v>26</v>
      </c>
      <c r="Q866">
        <v>549</v>
      </c>
      <c r="R866">
        <v>364</v>
      </c>
    </row>
    <row r="867" spans="1:18">
      <c r="A867" t="s">
        <v>942</v>
      </c>
      <c r="B867" t="s">
        <v>64</v>
      </c>
      <c r="C867" t="s">
        <v>65</v>
      </c>
      <c r="D867" s="8">
        <v>2020</v>
      </c>
      <c r="E867" s="29">
        <v>6</v>
      </c>
      <c r="F867">
        <v>8</v>
      </c>
      <c r="G867">
        <v>64</v>
      </c>
      <c r="H867">
        <v>77</v>
      </c>
      <c r="I867">
        <v>48</v>
      </c>
      <c r="J867">
        <v>6.7</v>
      </c>
      <c r="K867" t="s">
        <v>66</v>
      </c>
      <c r="L867" t="s">
        <v>31</v>
      </c>
      <c r="M867" t="s">
        <v>40</v>
      </c>
      <c r="N867" t="s">
        <v>24</v>
      </c>
      <c r="O867" t="s">
        <v>61</v>
      </c>
      <c r="P867" t="s">
        <v>35</v>
      </c>
      <c r="Q867">
        <v>499</v>
      </c>
      <c r="R867">
        <v>455</v>
      </c>
    </row>
    <row r="868" spans="1:18">
      <c r="A868" t="s">
        <v>943</v>
      </c>
      <c r="B868" t="s">
        <v>28</v>
      </c>
      <c r="C868" t="s">
        <v>29</v>
      </c>
      <c r="D868" s="8">
        <v>2023</v>
      </c>
      <c r="E868" s="29">
        <v>3</v>
      </c>
      <c r="F868">
        <v>8</v>
      </c>
      <c r="G868">
        <v>256</v>
      </c>
      <c r="H868">
        <v>94</v>
      </c>
      <c r="I868">
        <v>48</v>
      </c>
      <c r="J868">
        <v>6.1</v>
      </c>
      <c r="K868" t="s">
        <v>30</v>
      </c>
      <c r="L868" t="s">
        <v>22</v>
      </c>
      <c r="M868" t="s">
        <v>86</v>
      </c>
      <c r="N868" t="s">
        <v>24</v>
      </c>
      <c r="O868" t="s">
        <v>52</v>
      </c>
      <c r="P868" t="s">
        <v>35</v>
      </c>
      <c r="Q868">
        <v>599</v>
      </c>
      <c r="R868">
        <v>438</v>
      </c>
    </row>
    <row r="869" spans="1:18">
      <c r="A869" t="s">
        <v>944</v>
      </c>
      <c r="B869" t="s">
        <v>28</v>
      </c>
      <c r="C869" t="s">
        <v>29</v>
      </c>
      <c r="D869" s="8">
        <v>2021</v>
      </c>
      <c r="E869" s="29">
        <v>5</v>
      </c>
      <c r="F869">
        <v>6</v>
      </c>
      <c r="G869">
        <v>256</v>
      </c>
      <c r="H869">
        <v>85</v>
      </c>
      <c r="I869">
        <v>12</v>
      </c>
      <c r="J869">
        <v>6.5</v>
      </c>
      <c r="K869" t="s">
        <v>30</v>
      </c>
      <c r="L869" t="s">
        <v>59</v>
      </c>
      <c r="M869" t="s">
        <v>23</v>
      </c>
      <c r="N869" t="s">
        <v>33</v>
      </c>
      <c r="O869" t="s">
        <v>87</v>
      </c>
      <c r="P869" t="s">
        <v>35</v>
      </c>
      <c r="Q869">
        <v>599</v>
      </c>
      <c r="R869">
        <v>519</v>
      </c>
    </row>
    <row r="870" spans="1:18">
      <c r="A870" t="s">
        <v>945</v>
      </c>
      <c r="B870" t="s">
        <v>73</v>
      </c>
      <c r="C870" t="s">
        <v>74</v>
      </c>
      <c r="D870" s="8">
        <v>2023</v>
      </c>
      <c r="E870" s="29">
        <v>3</v>
      </c>
      <c r="F870">
        <v>6</v>
      </c>
      <c r="G870">
        <v>128</v>
      </c>
      <c r="H870">
        <v>94</v>
      </c>
      <c r="I870">
        <v>48</v>
      </c>
      <c r="J870">
        <v>6.2</v>
      </c>
      <c r="K870" t="s">
        <v>75</v>
      </c>
      <c r="L870" t="s">
        <v>31</v>
      </c>
      <c r="M870" t="s">
        <v>47</v>
      </c>
      <c r="N870" t="s">
        <v>33</v>
      </c>
      <c r="O870" t="s">
        <v>84</v>
      </c>
      <c r="P870" t="s">
        <v>35</v>
      </c>
      <c r="Q870">
        <v>799</v>
      </c>
      <c r="R870">
        <v>763</v>
      </c>
    </row>
    <row r="871" spans="1:18">
      <c r="A871" t="s">
        <v>946</v>
      </c>
      <c r="B871" t="s">
        <v>44</v>
      </c>
      <c r="C871" t="s">
        <v>45</v>
      </c>
      <c r="D871" s="8">
        <v>2023</v>
      </c>
      <c r="E871" s="29">
        <v>3</v>
      </c>
      <c r="F871">
        <v>4</v>
      </c>
      <c r="G871">
        <v>128</v>
      </c>
      <c r="H871">
        <v>86</v>
      </c>
      <c r="I871">
        <v>48</v>
      </c>
      <c r="J871">
        <v>6.78</v>
      </c>
      <c r="K871" t="s">
        <v>46</v>
      </c>
      <c r="L871" t="s">
        <v>59</v>
      </c>
      <c r="M871" t="s">
        <v>23</v>
      </c>
      <c r="N871" t="s">
        <v>24</v>
      </c>
      <c r="O871" t="s">
        <v>25</v>
      </c>
      <c r="P871" t="s">
        <v>35</v>
      </c>
      <c r="Q871">
        <v>799</v>
      </c>
      <c r="R871">
        <v>650</v>
      </c>
    </row>
    <row r="872" spans="1:18">
      <c r="A872" t="s">
        <v>947</v>
      </c>
      <c r="B872" t="s">
        <v>73</v>
      </c>
      <c r="C872" t="s">
        <v>74</v>
      </c>
      <c r="D872" s="8">
        <v>2023</v>
      </c>
      <c r="E872" s="29">
        <v>3</v>
      </c>
      <c r="F872">
        <v>12</v>
      </c>
      <c r="G872">
        <v>64</v>
      </c>
      <c r="H872">
        <v>85</v>
      </c>
      <c r="I872">
        <v>64</v>
      </c>
      <c r="J872">
        <v>6.5</v>
      </c>
      <c r="K872" t="s">
        <v>75</v>
      </c>
      <c r="L872" t="s">
        <v>59</v>
      </c>
      <c r="M872" t="s">
        <v>60</v>
      </c>
      <c r="N872" t="s">
        <v>24</v>
      </c>
      <c r="O872" t="s">
        <v>34</v>
      </c>
      <c r="P872" t="s">
        <v>26</v>
      </c>
      <c r="Q872">
        <v>799</v>
      </c>
      <c r="R872">
        <v>635</v>
      </c>
    </row>
    <row r="873" spans="1:18">
      <c r="A873" t="s">
        <v>948</v>
      </c>
      <c r="B873" t="s">
        <v>77</v>
      </c>
      <c r="C873" t="s">
        <v>78</v>
      </c>
      <c r="D873" s="8">
        <v>2020</v>
      </c>
      <c r="E873" s="29">
        <v>6</v>
      </c>
      <c r="F873">
        <v>6</v>
      </c>
      <c r="G873">
        <v>64</v>
      </c>
      <c r="H873">
        <v>99</v>
      </c>
      <c r="I873">
        <v>48</v>
      </c>
      <c r="J873">
        <v>6.7</v>
      </c>
      <c r="K873" t="s">
        <v>79</v>
      </c>
      <c r="L873" t="s">
        <v>31</v>
      </c>
      <c r="M873" t="s">
        <v>86</v>
      </c>
      <c r="N873" t="s">
        <v>33</v>
      </c>
      <c r="O873" t="s">
        <v>52</v>
      </c>
      <c r="P873" t="s">
        <v>26</v>
      </c>
      <c r="Q873">
        <v>699</v>
      </c>
      <c r="R873">
        <v>635</v>
      </c>
    </row>
    <row r="874" spans="1:18">
      <c r="A874" t="s">
        <v>949</v>
      </c>
      <c r="B874" t="s">
        <v>28</v>
      </c>
      <c r="C874" t="s">
        <v>29</v>
      </c>
      <c r="D874" s="8">
        <v>2021</v>
      </c>
      <c r="E874" s="29">
        <v>5</v>
      </c>
      <c r="F874">
        <v>8</v>
      </c>
      <c r="G874">
        <v>512</v>
      </c>
      <c r="H874">
        <v>77</v>
      </c>
      <c r="I874">
        <v>48</v>
      </c>
      <c r="J874">
        <v>6.7</v>
      </c>
      <c r="K874" t="s">
        <v>30</v>
      </c>
      <c r="L874" t="s">
        <v>57</v>
      </c>
      <c r="M874" t="s">
        <v>23</v>
      </c>
      <c r="N874" t="s">
        <v>33</v>
      </c>
      <c r="O874" t="s">
        <v>61</v>
      </c>
      <c r="P874" t="s">
        <v>26</v>
      </c>
      <c r="Q874">
        <v>599</v>
      </c>
      <c r="R874">
        <v>412</v>
      </c>
    </row>
    <row r="875" spans="1:18">
      <c r="A875" t="s">
        <v>950</v>
      </c>
      <c r="B875" t="s">
        <v>44</v>
      </c>
      <c r="C875" t="s">
        <v>45</v>
      </c>
      <c r="D875" s="8">
        <v>2021</v>
      </c>
      <c r="E875" s="29">
        <v>5</v>
      </c>
      <c r="F875">
        <v>6</v>
      </c>
      <c r="G875">
        <v>256</v>
      </c>
      <c r="H875">
        <v>95</v>
      </c>
      <c r="I875">
        <v>64</v>
      </c>
      <c r="J875">
        <v>6.5</v>
      </c>
      <c r="K875" t="s">
        <v>46</v>
      </c>
      <c r="L875" t="s">
        <v>31</v>
      </c>
      <c r="M875" t="s">
        <v>86</v>
      </c>
      <c r="N875" t="s">
        <v>24</v>
      </c>
      <c r="O875" t="s">
        <v>61</v>
      </c>
      <c r="P875" t="s">
        <v>26</v>
      </c>
      <c r="Q875">
        <v>799</v>
      </c>
      <c r="R875">
        <v>778</v>
      </c>
    </row>
    <row r="876" spans="1:18">
      <c r="A876" t="s">
        <v>951</v>
      </c>
      <c r="B876" t="s">
        <v>19</v>
      </c>
      <c r="C876" t="s">
        <v>20</v>
      </c>
      <c r="D876" s="8">
        <v>2022</v>
      </c>
      <c r="E876" s="29">
        <v>4</v>
      </c>
      <c r="F876">
        <v>8</v>
      </c>
      <c r="G876">
        <v>512</v>
      </c>
      <c r="H876">
        <v>80</v>
      </c>
      <c r="I876">
        <v>50</v>
      </c>
      <c r="J876">
        <v>6.5</v>
      </c>
      <c r="K876" t="s">
        <v>21</v>
      </c>
      <c r="L876" t="s">
        <v>57</v>
      </c>
      <c r="M876" t="s">
        <v>23</v>
      </c>
      <c r="N876" t="s">
        <v>24</v>
      </c>
      <c r="O876" t="s">
        <v>48</v>
      </c>
      <c r="P876" t="s">
        <v>26</v>
      </c>
      <c r="Q876">
        <v>599</v>
      </c>
      <c r="R876">
        <v>391</v>
      </c>
    </row>
    <row r="877" spans="1:18">
      <c r="A877" t="s">
        <v>952</v>
      </c>
      <c r="B877" t="s">
        <v>89</v>
      </c>
      <c r="C877" t="s">
        <v>90</v>
      </c>
      <c r="D877" s="8">
        <v>2021</v>
      </c>
      <c r="E877" s="29">
        <v>5</v>
      </c>
      <c r="F877">
        <v>12</v>
      </c>
      <c r="G877">
        <v>64</v>
      </c>
      <c r="H877">
        <v>81</v>
      </c>
      <c r="I877">
        <v>64</v>
      </c>
      <c r="J877">
        <v>6.4</v>
      </c>
      <c r="K877" t="s">
        <v>91</v>
      </c>
      <c r="L877" t="s">
        <v>59</v>
      </c>
      <c r="M877" t="s">
        <v>40</v>
      </c>
      <c r="N877" t="s">
        <v>24</v>
      </c>
      <c r="O877" t="s">
        <v>87</v>
      </c>
      <c r="P877" t="s">
        <v>35</v>
      </c>
      <c r="Q877">
        <v>449</v>
      </c>
      <c r="R877">
        <v>398</v>
      </c>
    </row>
    <row r="878" spans="1:18">
      <c r="A878" t="s">
        <v>953</v>
      </c>
      <c r="B878" t="s">
        <v>68</v>
      </c>
      <c r="C878" t="s">
        <v>81</v>
      </c>
      <c r="D878" s="8">
        <v>2020</v>
      </c>
      <c r="E878" s="29">
        <v>6</v>
      </c>
      <c r="F878">
        <v>8</v>
      </c>
      <c r="G878">
        <v>256</v>
      </c>
      <c r="H878">
        <v>79</v>
      </c>
      <c r="I878">
        <v>48</v>
      </c>
      <c r="J878">
        <v>6.78</v>
      </c>
      <c r="K878" t="s">
        <v>82</v>
      </c>
      <c r="L878" t="s">
        <v>31</v>
      </c>
      <c r="M878" t="s">
        <v>23</v>
      </c>
      <c r="N878" t="s">
        <v>24</v>
      </c>
      <c r="O878" t="s">
        <v>41</v>
      </c>
      <c r="P878" t="s">
        <v>35</v>
      </c>
      <c r="Q878">
        <v>299</v>
      </c>
      <c r="R878">
        <v>289</v>
      </c>
    </row>
    <row r="879" spans="1:18">
      <c r="A879" t="s">
        <v>954</v>
      </c>
      <c r="B879" t="s">
        <v>68</v>
      </c>
      <c r="C879" t="s">
        <v>81</v>
      </c>
      <c r="D879" s="8">
        <v>2024</v>
      </c>
      <c r="E879" s="29">
        <v>2</v>
      </c>
      <c r="F879">
        <v>12</v>
      </c>
      <c r="G879">
        <v>64</v>
      </c>
      <c r="H879">
        <v>88</v>
      </c>
      <c r="I879">
        <v>64</v>
      </c>
      <c r="J879">
        <v>6.4</v>
      </c>
      <c r="K879" t="s">
        <v>82</v>
      </c>
      <c r="L879" t="s">
        <v>31</v>
      </c>
      <c r="M879" t="s">
        <v>40</v>
      </c>
      <c r="N879" t="s">
        <v>24</v>
      </c>
      <c r="O879" t="s">
        <v>84</v>
      </c>
      <c r="P879" t="s">
        <v>35</v>
      </c>
      <c r="Q879">
        <v>299</v>
      </c>
      <c r="R879">
        <v>289</v>
      </c>
    </row>
    <row r="880" spans="1:18">
      <c r="A880" t="s">
        <v>955</v>
      </c>
      <c r="B880" t="s">
        <v>89</v>
      </c>
      <c r="C880" t="s">
        <v>90</v>
      </c>
      <c r="D880" s="8">
        <v>2024</v>
      </c>
      <c r="E880" s="29">
        <v>2</v>
      </c>
      <c r="F880">
        <v>4</v>
      </c>
      <c r="G880">
        <v>512</v>
      </c>
      <c r="H880">
        <v>87</v>
      </c>
      <c r="I880">
        <v>50</v>
      </c>
      <c r="J880">
        <v>6.5</v>
      </c>
      <c r="K880" t="s">
        <v>91</v>
      </c>
      <c r="L880" t="s">
        <v>22</v>
      </c>
      <c r="M880" t="s">
        <v>47</v>
      </c>
      <c r="N880" t="s">
        <v>24</v>
      </c>
      <c r="O880" t="s">
        <v>25</v>
      </c>
      <c r="P880" t="s">
        <v>35</v>
      </c>
      <c r="Q880">
        <v>449</v>
      </c>
      <c r="R880">
        <v>397</v>
      </c>
    </row>
    <row r="881" spans="1:18">
      <c r="A881" t="s">
        <v>956</v>
      </c>
      <c r="B881" t="s">
        <v>89</v>
      </c>
      <c r="C881" t="s">
        <v>115</v>
      </c>
      <c r="D881" s="8">
        <v>2024</v>
      </c>
      <c r="E881" s="29">
        <v>2</v>
      </c>
      <c r="F881">
        <v>8</v>
      </c>
      <c r="G881">
        <v>128</v>
      </c>
      <c r="H881">
        <v>82</v>
      </c>
      <c r="I881">
        <v>64</v>
      </c>
      <c r="J881">
        <v>6.78</v>
      </c>
      <c r="K881" t="s">
        <v>116</v>
      </c>
      <c r="L881" t="s">
        <v>22</v>
      </c>
      <c r="M881" t="s">
        <v>40</v>
      </c>
      <c r="N881" t="s">
        <v>33</v>
      </c>
      <c r="O881" t="s">
        <v>61</v>
      </c>
      <c r="P881" t="s">
        <v>26</v>
      </c>
      <c r="Q881">
        <v>999</v>
      </c>
      <c r="R881">
        <v>658</v>
      </c>
    </row>
    <row r="882" spans="1:18">
      <c r="A882" t="s">
        <v>957</v>
      </c>
      <c r="B882" t="s">
        <v>64</v>
      </c>
      <c r="C882" t="s">
        <v>65</v>
      </c>
      <c r="D882" s="8">
        <v>2024</v>
      </c>
      <c r="E882" s="29">
        <v>2</v>
      </c>
      <c r="F882">
        <v>4</v>
      </c>
      <c r="G882">
        <v>64</v>
      </c>
      <c r="H882">
        <v>99</v>
      </c>
      <c r="I882">
        <v>50</v>
      </c>
      <c r="J882">
        <v>6.5</v>
      </c>
      <c r="K882" t="s">
        <v>66</v>
      </c>
      <c r="L882" t="s">
        <v>31</v>
      </c>
      <c r="M882" t="s">
        <v>86</v>
      </c>
      <c r="N882" t="s">
        <v>33</v>
      </c>
      <c r="O882" t="s">
        <v>41</v>
      </c>
      <c r="P882" t="s">
        <v>35</v>
      </c>
      <c r="Q882">
        <v>499</v>
      </c>
      <c r="R882">
        <v>459</v>
      </c>
    </row>
    <row r="883" spans="1:18">
      <c r="A883" t="s">
        <v>958</v>
      </c>
      <c r="B883" t="s">
        <v>28</v>
      </c>
      <c r="C883" t="s">
        <v>29</v>
      </c>
      <c r="D883" s="8">
        <v>2024</v>
      </c>
      <c r="E883" s="29">
        <v>2</v>
      </c>
      <c r="F883">
        <v>6</v>
      </c>
      <c r="G883">
        <v>512</v>
      </c>
      <c r="H883">
        <v>91</v>
      </c>
      <c r="I883">
        <v>64</v>
      </c>
      <c r="J883">
        <v>6.5</v>
      </c>
      <c r="K883" t="s">
        <v>30</v>
      </c>
      <c r="L883" t="s">
        <v>22</v>
      </c>
      <c r="M883" t="s">
        <v>40</v>
      </c>
      <c r="N883" t="s">
        <v>33</v>
      </c>
      <c r="O883" t="s">
        <v>87</v>
      </c>
      <c r="P883" t="s">
        <v>35</v>
      </c>
      <c r="Q883">
        <v>599</v>
      </c>
      <c r="R883">
        <v>496</v>
      </c>
    </row>
    <row r="884" spans="1:18">
      <c r="A884" t="s">
        <v>959</v>
      </c>
      <c r="B884" t="s">
        <v>68</v>
      </c>
      <c r="C884" t="s">
        <v>81</v>
      </c>
      <c r="D884" s="8">
        <v>2024</v>
      </c>
      <c r="E884" s="29">
        <v>2</v>
      </c>
      <c r="F884">
        <v>6</v>
      </c>
      <c r="G884">
        <v>64</v>
      </c>
      <c r="H884">
        <v>76</v>
      </c>
      <c r="I884">
        <v>12</v>
      </c>
      <c r="J884">
        <v>6.5</v>
      </c>
      <c r="K884" t="s">
        <v>82</v>
      </c>
      <c r="L884" t="s">
        <v>59</v>
      </c>
      <c r="M884" t="s">
        <v>86</v>
      </c>
      <c r="N884" t="s">
        <v>33</v>
      </c>
      <c r="O884" t="s">
        <v>48</v>
      </c>
      <c r="P884" t="s">
        <v>35</v>
      </c>
      <c r="Q884">
        <v>299</v>
      </c>
      <c r="R884">
        <v>270</v>
      </c>
    </row>
    <row r="885" spans="1:18">
      <c r="A885" t="s">
        <v>960</v>
      </c>
      <c r="B885" t="s">
        <v>64</v>
      </c>
      <c r="C885" t="s">
        <v>65</v>
      </c>
      <c r="D885" s="8">
        <v>2023</v>
      </c>
      <c r="E885" s="29">
        <v>3</v>
      </c>
      <c r="F885">
        <v>6</v>
      </c>
      <c r="G885">
        <v>64</v>
      </c>
      <c r="H885">
        <v>86</v>
      </c>
      <c r="I885">
        <v>48</v>
      </c>
      <c r="J885">
        <v>6.67</v>
      </c>
      <c r="K885" t="s">
        <v>66</v>
      </c>
      <c r="L885" t="s">
        <v>31</v>
      </c>
      <c r="M885" t="s">
        <v>23</v>
      </c>
      <c r="N885" t="s">
        <v>24</v>
      </c>
      <c r="O885" t="s">
        <v>25</v>
      </c>
      <c r="P885" t="s">
        <v>35</v>
      </c>
      <c r="Q885">
        <v>499</v>
      </c>
      <c r="R885">
        <v>480</v>
      </c>
    </row>
    <row r="886" spans="1:18">
      <c r="A886" t="s">
        <v>961</v>
      </c>
      <c r="B886" t="s">
        <v>19</v>
      </c>
      <c r="C886" t="s">
        <v>20</v>
      </c>
      <c r="D886" s="8">
        <v>2020</v>
      </c>
      <c r="E886" s="29">
        <v>6</v>
      </c>
      <c r="F886">
        <v>6</v>
      </c>
      <c r="G886">
        <v>512</v>
      </c>
      <c r="H886">
        <v>81</v>
      </c>
      <c r="I886">
        <v>50</v>
      </c>
      <c r="J886">
        <v>6.5</v>
      </c>
      <c r="K886" t="s">
        <v>21</v>
      </c>
      <c r="L886" t="s">
        <v>59</v>
      </c>
      <c r="M886" t="s">
        <v>23</v>
      </c>
      <c r="N886" t="s">
        <v>24</v>
      </c>
      <c r="O886" t="s">
        <v>41</v>
      </c>
      <c r="P886" t="s">
        <v>26</v>
      </c>
      <c r="Q886">
        <v>599</v>
      </c>
      <c r="R886">
        <v>585</v>
      </c>
    </row>
    <row r="887" spans="1:18">
      <c r="A887" t="s">
        <v>962</v>
      </c>
      <c r="B887" t="s">
        <v>64</v>
      </c>
      <c r="C887" t="s">
        <v>65</v>
      </c>
      <c r="D887" s="8">
        <v>2020</v>
      </c>
      <c r="E887" s="29">
        <v>6</v>
      </c>
      <c r="F887">
        <v>8</v>
      </c>
      <c r="G887">
        <v>128</v>
      </c>
      <c r="H887">
        <v>96</v>
      </c>
      <c r="I887">
        <v>12</v>
      </c>
      <c r="J887">
        <v>6.7</v>
      </c>
      <c r="K887" t="s">
        <v>66</v>
      </c>
      <c r="L887" t="s">
        <v>22</v>
      </c>
      <c r="M887" t="s">
        <v>23</v>
      </c>
      <c r="N887" t="s">
        <v>33</v>
      </c>
      <c r="O887" t="s">
        <v>84</v>
      </c>
      <c r="P887" t="s">
        <v>26</v>
      </c>
      <c r="Q887">
        <v>499</v>
      </c>
      <c r="R887">
        <v>384</v>
      </c>
    </row>
    <row r="888" spans="1:18">
      <c r="A888" t="s">
        <v>963</v>
      </c>
      <c r="B888" t="s">
        <v>77</v>
      </c>
      <c r="C888" t="s">
        <v>78</v>
      </c>
      <c r="D888" s="8">
        <v>2022</v>
      </c>
      <c r="E888" s="29">
        <v>4</v>
      </c>
      <c r="F888">
        <v>6</v>
      </c>
      <c r="G888">
        <v>256</v>
      </c>
      <c r="H888">
        <v>86</v>
      </c>
      <c r="I888">
        <v>50</v>
      </c>
      <c r="J888">
        <v>6.1</v>
      </c>
      <c r="K888" t="s">
        <v>79</v>
      </c>
      <c r="L888" t="s">
        <v>59</v>
      </c>
      <c r="M888" t="s">
        <v>40</v>
      </c>
      <c r="N888" t="s">
        <v>24</v>
      </c>
      <c r="O888" t="s">
        <v>87</v>
      </c>
      <c r="P888" t="s">
        <v>35</v>
      </c>
      <c r="Q888">
        <v>699</v>
      </c>
      <c r="R888">
        <v>594</v>
      </c>
    </row>
    <row r="889" spans="1:18">
      <c r="A889" t="s">
        <v>964</v>
      </c>
      <c r="B889" t="s">
        <v>68</v>
      </c>
      <c r="C889" t="s">
        <v>69</v>
      </c>
      <c r="D889" s="8">
        <v>2022</v>
      </c>
      <c r="E889" s="29">
        <v>4</v>
      </c>
      <c r="F889">
        <v>4</v>
      </c>
      <c r="G889">
        <v>256</v>
      </c>
      <c r="H889">
        <v>98</v>
      </c>
      <c r="I889">
        <v>12</v>
      </c>
      <c r="J889">
        <v>6.7</v>
      </c>
      <c r="K889" t="s">
        <v>70</v>
      </c>
      <c r="L889" t="s">
        <v>22</v>
      </c>
      <c r="M889" t="s">
        <v>23</v>
      </c>
      <c r="N889" t="s">
        <v>33</v>
      </c>
      <c r="O889" t="s">
        <v>61</v>
      </c>
      <c r="P889" t="s">
        <v>26</v>
      </c>
      <c r="Q889">
        <v>399</v>
      </c>
      <c r="R889">
        <v>322</v>
      </c>
    </row>
    <row r="890" spans="1:18">
      <c r="A890" t="s">
        <v>965</v>
      </c>
      <c r="B890" t="s">
        <v>89</v>
      </c>
      <c r="C890" t="s">
        <v>115</v>
      </c>
      <c r="D890" s="8">
        <v>2020</v>
      </c>
      <c r="E890" s="29">
        <v>6</v>
      </c>
      <c r="F890">
        <v>4</v>
      </c>
      <c r="G890">
        <v>64</v>
      </c>
      <c r="H890">
        <v>82</v>
      </c>
      <c r="I890">
        <v>108</v>
      </c>
      <c r="J890">
        <v>6.7</v>
      </c>
      <c r="K890" t="s">
        <v>116</v>
      </c>
      <c r="L890" t="s">
        <v>22</v>
      </c>
      <c r="M890" t="s">
        <v>32</v>
      </c>
      <c r="N890" t="s">
        <v>33</v>
      </c>
      <c r="O890" t="s">
        <v>52</v>
      </c>
      <c r="P890" t="s">
        <v>26</v>
      </c>
      <c r="Q890">
        <v>999</v>
      </c>
      <c r="R890">
        <v>624</v>
      </c>
    </row>
    <row r="891" spans="1:18">
      <c r="A891" t="s">
        <v>966</v>
      </c>
      <c r="B891" t="s">
        <v>77</v>
      </c>
      <c r="C891" t="s">
        <v>78</v>
      </c>
      <c r="D891" s="8">
        <v>2021</v>
      </c>
      <c r="E891" s="29">
        <v>5</v>
      </c>
      <c r="F891">
        <v>12</v>
      </c>
      <c r="G891">
        <v>128</v>
      </c>
      <c r="H891">
        <v>100</v>
      </c>
      <c r="I891">
        <v>12</v>
      </c>
      <c r="J891">
        <v>6.2</v>
      </c>
      <c r="K891" t="s">
        <v>79</v>
      </c>
      <c r="L891" t="s">
        <v>59</v>
      </c>
      <c r="M891" t="s">
        <v>32</v>
      </c>
      <c r="N891" t="s">
        <v>33</v>
      </c>
      <c r="O891" t="s">
        <v>84</v>
      </c>
      <c r="P891" t="s">
        <v>35</v>
      </c>
      <c r="Q891">
        <v>699</v>
      </c>
      <c r="R891">
        <v>604</v>
      </c>
    </row>
    <row r="892" spans="1:18">
      <c r="A892" t="s">
        <v>967</v>
      </c>
      <c r="B892" t="s">
        <v>68</v>
      </c>
      <c r="C892" t="s">
        <v>69</v>
      </c>
      <c r="D892" s="8">
        <v>2023</v>
      </c>
      <c r="E892" s="29">
        <v>3</v>
      </c>
      <c r="F892">
        <v>12</v>
      </c>
      <c r="G892">
        <v>64</v>
      </c>
      <c r="H892">
        <v>95</v>
      </c>
      <c r="I892">
        <v>64</v>
      </c>
      <c r="J892">
        <v>6.2</v>
      </c>
      <c r="K892" t="s">
        <v>70</v>
      </c>
      <c r="L892" t="s">
        <v>31</v>
      </c>
      <c r="M892" t="s">
        <v>32</v>
      </c>
      <c r="N892" t="s">
        <v>33</v>
      </c>
      <c r="O892" t="s">
        <v>61</v>
      </c>
      <c r="P892" t="s">
        <v>35</v>
      </c>
      <c r="Q892">
        <v>399</v>
      </c>
      <c r="R892">
        <v>384</v>
      </c>
    </row>
    <row r="893" spans="1:18">
      <c r="A893" t="s">
        <v>968</v>
      </c>
      <c r="B893" t="s">
        <v>54</v>
      </c>
      <c r="C893" t="s">
        <v>55</v>
      </c>
      <c r="D893" s="8">
        <v>2023</v>
      </c>
      <c r="E893" s="29">
        <v>3</v>
      </c>
      <c r="F893">
        <v>4</v>
      </c>
      <c r="G893">
        <v>64</v>
      </c>
      <c r="H893">
        <v>78</v>
      </c>
      <c r="I893">
        <v>108</v>
      </c>
      <c r="J893">
        <v>6.78</v>
      </c>
      <c r="K893" t="s">
        <v>56</v>
      </c>
      <c r="L893" t="s">
        <v>59</v>
      </c>
      <c r="M893" t="s">
        <v>32</v>
      </c>
      <c r="N893" t="s">
        <v>24</v>
      </c>
      <c r="O893" t="s">
        <v>25</v>
      </c>
      <c r="P893" t="s">
        <v>35</v>
      </c>
      <c r="Q893">
        <v>549</v>
      </c>
      <c r="R893">
        <v>424</v>
      </c>
    </row>
    <row r="894" spans="1:18">
      <c r="A894" t="s">
        <v>969</v>
      </c>
      <c r="B894" t="s">
        <v>64</v>
      </c>
      <c r="C894" t="s">
        <v>65</v>
      </c>
      <c r="D894" s="8">
        <v>2021</v>
      </c>
      <c r="E894" s="29">
        <v>5</v>
      </c>
      <c r="F894">
        <v>12</v>
      </c>
      <c r="G894">
        <v>256</v>
      </c>
      <c r="H894">
        <v>94</v>
      </c>
      <c r="I894">
        <v>48</v>
      </c>
      <c r="J894">
        <v>6.2</v>
      </c>
      <c r="K894" t="s">
        <v>66</v>
      </c>
      <c r="L894" t="s">
        <v>31</v>
      </c>
      <c r="M894" t="s">
        <v>23</v>
      </c>
      <c r="N894" t="s">
        <v>24</v>
      </c>
      <c r="O894" t="s">
        <v>34</v>
      </c>
      <c r="P894" t="s">
        <v>26</v>
      </c>
      <c r="Q894">
        <v>499</v>
      </c>
      <c r="R894">
        <v>489</v>
      </c>
    </row>
    <row r="895" spans="1:18">
      <c r="A895" t="s">
        <v>970</v>
      </c>
      <c r="B895" t="s">
        <v>73</v>
      </c>
      <c r="C895" t="s">
        <v>105</v>
      </c>
      <c r="D895" s="8">
        <v>2024</v>
      </c>
      <c r="E895" s="29">
        <v>2</v>
      </c>
      <c r="F895">
        <v>6</v>
      </c>
      <c r="G895">
        <v>128</v>
      </c>
      <c r="H895">
        <v>78</v>
      </c>
      <c r="I895">
        <v>50</v>
      </c>
      <c r="J895">
        <v>6.4</v>
      </c>
      <c r="K895" t="s">
        <v>75</v>
      </c>
      <c r="L895" t="s">
        <v>31</v>
      </c>
      <c r="M895" t="s">
        <v>40</v>
      </c>
      <c r="N895" t="s">
        <v>24</v>
      </c>
      <c r="O895" t="s">
        <v>52</v>
      </c>
      <c r="P895" t="s">
        <v>26</v>
      </c>
      <c r="Q895">
        <v>899</v>
      </c>
      <c r="R895">
        <v>796</v>
      </c>
    </row>
    <row r="896" spans="1:18">
      <c r="A896" t="s">
        <v>971</v>
      </c>
      <c r="B896" t="s">
        <v>54</v>
      </c>
      <c r="C896" t="s">
        <v>55</v>
      </c>
      <c r="D896" s="8">
        <v>2021</v>
      </c>
      <c r="E896" s="29">
        <v>5</v>
      </c>
      <c r="F896">
        <v>6</v>
      </c>
      <c r="G896">
        <v>512</v>
      </c>
      <c r="H896">
        <v>98</v>
      </c>
      <c r="I896">
        <v>108</v>
      </c>
      <c r="J896">
        <v>6.1</v>
      </c>
      <c r="K896" t="s">
        <v>56</v>
      </c>
      <c r="L896" t="s">
        <v>22</v>
      </c>
      <c r="M896" t="s">
        <v>47</v>
      </c>
      <c r="N896" t="s">
        <v>33</v>
      </c>
      <c r="O896" t="s">
        <v>52</v>
      </c>
      <c r="P896" t="s">
        <v>35</v>
      </c>
      <c r="Q896">
        <v>549</v>
      </c>
      <c r="R896">
        <v>477</v>
      </c>
    </row>
    <row r="897" spans="1:18">
      <c r="A897" t="s">
        <v>972</v>
      </c>
      <c r="B897" t="s">
        <v>44</v>
      </c>
      <c r="C897" t="s">
        <v>45</v>
      </c>
      <c r="D897" s="8">
        <v>2022</v>
      </c>
      <c r="E897" s="29">
        <v>4</v>
      </c>
      <c r="F897">
        <v>4</v>
      </c>
      <c r="G897">
        <v>64</v>
      </c>
      <c r="H897">
        <v>81</v>
      </c>
      <c r="I897">
        <v>108</v>
      </c>
      <c r="J897">
        <v>6.67</v>
      </c>
      <c r="K897" t="s">
        <v>46</v>
      </c>
      <c r="L897" t="s">
        <v>57</v>
      </c>
      <c r="M897" t="s">
        <v>47</v>
      </c>
      <c r="N897" t="s">
        <v>24</v>
      </c>
      <c r="O897" t="s">
        <v>41</v>
      </c>
      <c r="P897" t="s">
        <v>26</v>
      </c>
      <c r="Q897">
        <v>799</v>
      </c>
      <c r="R897">
        <v>411</v>
      </c>
    </row>
    <row r="898" spans="1:18">
      <c r="A898" t="s">
        <v>973</v>
      </c>
      <c r="B898" t="s">
        <v>73</v>
      </c>
      <c r="C898" t="s">
        <v>74</v>
      </c>
      <c r="D898" s="8">
        <v>2020</v>
      </c>
      <c r="E898" s="29">
        <v>6</v>
      </c>
      <c r="F898">
        <v>8</v>
      </c>
      <c r="G898">
        <v>256</v>
      </c>
      <c r="H898">
        <v>92</v>
      </c>
      <c r="I898">
        <v>12</v>
      </c>
      <c r="J898">
        <v>6.2</v>
      </c>
      <c r="K898" t="s">
        <v>75</v>
      </c>
      <c r="L898" t="s">
        <v>57</v>
      </c>
      <c r="M898" t="s">
        <v>23</v>
      </c>
      <c r="N898" t="s">
        <v>24</v>
      </c>
      <c r="O898" t="s">
        <v>25</v>
      </c>
      <c r="P898" t="s">
        <v>26</v>
      </c>
      <c r="Q898">
        <v>799</v>
      </c>
      <c r="R898">
        <v>439</v>
      </c>
    </row>
    <row r="899" spans="1:18">
      <c r="A899" t="s">
        <v>974</v>
      </c>
      <c r="B899" t="s">
        <v>37</v>
      </c>
      <c r="C899" t="s">
        <v>38</v>
      </c>
      <c r="D899" s="8">
        <v>2020</v>
      </c>
      <c r="E899" s="29">
        <v>6</v>
      </c>
      <c r="F899">
        <v>6</v>
      </c>
      <c r="G899">
        <v>64</v>
      </c>
      <c r="H899">
        <v>93</v>
      </c>
      <c r="I899">
        <v>50</v>
      </c>
      <c r="J899">
        <v>6.2</v>
      </c>
      <c r="K899" t="s">
        <v>39</v>
      </c>
      <c r="L899" t="s">
        <v>31</v>
      </c>
      <c r="M899" t="s">
        <v>40</v>
      </c>
      <c r="N899" t="s">
        <v>24</v>
      </c>
      <c r="O899" t="s">
        <v>87</v>
      </c>
      <c r="P899" t="s">
        <v>35</v>
      </c>
      <c r="Q899">
        <v>599</v>
      </c>
      <c r="R899">
        <v>560</v>
      </c>
    </row>
    <row r="900" spans="1:18">
      <c r="A900" t="s">
        <v>975</v>
      </c>
      <c r="B900" t="s">
        <v>54</v>
      </c>
      <c r="C900" t="s">
        <v>55</v>
      </c>
      <c r="D900" s="8">
        <v>2020</v>
      </c>
      <c r="E900" s="29">
        <v>6</v>
      </c>
      <c r="F900">
        <v>12</v>
      </c>
      <c r="G900">
        <v>128</v>
      </c>
      <c r="H900">
        <v>76</v>
      </c>
      <c r="I900">
        <v>64</v>
      </c>
      <c r="J900">
        <v>6.4</v>
      </c>
      <c r="K900" t="s">
        <v>56</v>
      </c>
      <c r="L900" t="s">
        <v>22</v>
      </c>
      <c r="M900" t="s">
        <v>86</v>
      </c>
      <c r="N900" t="s">
        <v>33</v>
      </c>
      <c r="O900" t="s">
        <v>48</v>
      </c>
      <c r="P900" t="s">
        <v>26</v>
      </c>
      <c r="Q900">
        <v>549</v>
      </c>
      <c r="R900">
        <v>400</v>
      </c>
    </row>
    <row r="901" spans="1:18">
      <c r="A901" t="s">
        <v>976</v>
      </c>
      <c r="B901" t="s">
        <v>54</v>
      </c>
      <c r="C901" t="s">
        <v>55</v>
      </c>
      <c r="D901" s="8">
        <v>2023</v>
      </c>
      <c r="E901" s="29">
        <v>3</v>
      </c>
      <c r="F901">
        <v>8</v>
      </c>
      <c r="G901">
        <v>128</v>
      </c>
      <c r="H901">
        <v>77</v>
      </c>
      <c r="I901">
        <v>48</v>
      </c>
      <c r="J901">
        <v>6.7</v>
      </c>
      <c r="K901" t="s">
        <v>56</v>
      </c>
      <c r="L901" t="s">
        <v>22</v>
      </c>
      <c r="M901" t="s">
        <v>32</v>
      </c>
      <c r="N901" t="s">
        <v>33</v>
      </c>
      <c r="O901" t="s">
        <v>84</v>
      </c>
      <c r="P901" t="s">
        <v>26</v>
      </c>
      <c r="Q901">
        <v>549</v>
      </c>
      <c r="R901">
        <v>368</v>
      </c>
    </row>
    <row r="902" spans="1:18">
      <c r="A902" t="s">
        <v>977</v>
      </c>
      <c r="B902" t="s">
        <v>77</v>
      </c>
      <c r="C902" t="s">
        <v>78</v>
      </c>
      <c r="D902" s="8">
        <v>2022</v>
      </c>
      <c r="E902" s="29">
        <v>4</v>
      </c>
      <c r="F902">
        <v>4</v>
      </c>
      <c r="G902">
        <v>64</v>
      </c>
      <c r="H902">
        <v>87</v>
      </c>
      <c r="I902">
        <v>108</v>
      </c>
      <c r="J902">
        <v>6.1</v>
      </c>
      <c r="K902" t="s">
        <v>79</v>
      </c>
      <c r="L902" t="s">
        <v>57</v>
      </c>
      <c r="M902" t="s">
        <v>32</v>
      </c>
      <c r="N902" t="s">
        <v>33</v>
      </c>
      <c r="O902" t="s">
        <v>61</v>
      </c>
      <c r="P902" t="s">
        <v>26</v>
      </c>
      <c r="Q902">
        <v>699</v>
      </c>
      <c r="R902">
        <v>335</v>
      </c>
    </row>
    <row r="903" spans="1:18">
      <c r="A903" t="s">
        <v>978</v>
      </c>
      <c r="B903" t="s">
        <v>19</v>
      </c>
      <c r="C903" t="s">
        <v>20</v>
      </c>
      <c r="D903" s="8">
        <v>2020</v>
      </c>
      <c r="E903" s="29">
        <v>6</v>
      </c>
      <c r="F903">
        <v>6</v>
      </c>
      <c r="G903">
        <v>512</v>
      </c>
      <c r="H903">
        <v>75</v>
      </c>
      <c r="I903">
        <v>64</v>
      </c>
      <c r="J903">
        <v>6.2</v>
      </c>
      <c r="K903" t="s">
        <v>21</v>
      </c>
      <c r="L903" t="s">
        <v>22</v>
      </c>
      <c r="M903" t="s">
        <v>32</v>
      </c>
      <c r="N903" t="s">
        <v>33</v>
      </c>
      <c r="O903" t="s">
        <v>48</v>
      </c>
      <c r="P903" t="s">
        <v>26</v>
      </c>
      <c r="Q903">
        <v>599</v>
      </c>
      <c r="R903">
        <v>463</v>
      </c>
    </row>
    <row r="904" spans="1:18">
      <c r="A904" t="s">
        <v>979</v>
      </c>
      <c r="B904" t="s">
        <v>28</v>
      </c>
      <c r="C904" t="s">
        <v>29</v>
      </c>
      <c r="D904" s="8">
        <v>2020</v>
      </c>
      <c r="E904" s="29">
        <v>6</v>
      </c>
      <c r="F904">
        <v>4</v>
      </c>
      <c r="G904">
        <v>128</v>
      </c>
      <c r="H904">
        <v>100</v>
      </c>
      <c r="I904">
        <v>12</v>
      </c>
      <c r="J904">
        <v>6.1</v>
      </c>
      <c r="K904" t="s">
        <v>30</v>
      </c>
      <c r="L904" t="s">
        <v>22</v>
      </c>
      <c r="M904" t="s">
        <v>23</v>
      </c>
      <c r="N904" t="s">
        <v>33</v>
      </c>
      <c r="O904" t="s">
        <v>41</v>
      </c>
      <c r="P904" t="s">
        <v>35</v>
      </c>
      <c r="Q904">
        <v>599</v>
      </c>
      <c r="R904">
        <v>394</v>
      </c>
    </row>
    <row r="905" spans="1:18">
      <c r="A905" t="s">
        <v>980</v>
      </c>
      <c r="B905" t="s">
        <v>44</v>
      </c>
      <c r="C905" t="s">
        <v>45</v>
      </c>
      <c r="D905" s="8">
        <v>2022</v>
      </c>
      <c r="E905" s="29">
        <v>4</v>
      </c>
      <c r="F905">
        <v>4</v>
      </c>
      <c r="G905">
        <v>256</v>
      </c>
      <c r="H905">
        <v>96</v>
      </c>
      <c r="I905">
        <v>48</v>
      </c>
      <c r="J905">
        <v>6.4</v>
      </c>
      <c r="K905" t="s">
        <v>46</v>
      </c>
      <c r="L905" t="s">
        <v>31</v>
      </c>
      <c r="M905" t="s">
        <v>60</v>
      </c>
      <c r="N905" t="s">
        <v>24</v>
      </c>
      <c r="O905" t="s">
        <v>41</v>
      </c>
      <c r="P905" t="s">
        <v>35</v>
      </c>
      <c r="Q905">
        <v>799</v>
      </c>
      <c r="R905">
        <v>749</v>
      </c>
    </row>
    <row r="906" spans="1:18">
      <c r="A906" t="s">
        <v>981</v>
      </c>
      <c r="B906" t="s">
        <v>28</v>
      </c>
      <c r="C906" t="s">
        <v>29</v>
      </c>
      <c r="D906" s="8">
        <v>2022</v>
      </c>
      <c r="E906" s="29">
        <v>4</v>
      </c>
      <c r="F906">
        <v>4</v>
      </c>
      <c r="G906">
        <v>256</v>
      </c>
      <c r="H906">
        <v>81</v>
      </c>
      <c r="I906">
        <v>64</v>
      </c>
      <c r="J906">
        <v>6.7</v>
      </c>
      <c r="K906" t="s">
        <v>30</v>
      </c>
      <c r="L906" t="s">
        <v>22</v>
      </c>
      <c r="M906" t="s">
        <v>32</v>
      </c>
      <c r="N906" t="s">
        <v>33</v>
      </c>
      <c r="O906" t="s">
        <v>25</v>
      </c>
      <c r="P906" t="s">
        <v>35</v>
      </c>
      <c r="Q906">
        <v>599</v>
      </c>
      <c r="R906">
        <v>410</v>
      </c>
    </row>
    <row r="907" spans="1:18">
      <c r="A907" t="s">
        <v>982</v>
      </c>
      <c r="B907" t="s">
        <v>37</v>
      </c>
      <c r="C907" t="s">
        <v>38</v>
      </c>
      <c r="D907" s="8">
        <v>2021</v>
      </c>
      <c r="E907" s="29">
        <v>5</v>
      </c>
      <c r="F907">
        <v>8</v>
      </c>
      <c r="G907">
        <v>128</v>
      </c>
      <c r="H907">
        <v>98</v>
      </c>
      <c r="I907">
        <v>48</v>
      </c>
      <c r="J907">
        <v>6.5</v>
      </c>
      <c r="K907" t="s">
        <v>39</v>
      </c>
      <c r="L907" t="s">
        <v>22</v>
      </c>
      <c r="M907" t="s">
        <v>47</v>
      </c>
      <c r="N907" t="s">
        <v>33</v>
      </c>
      <c r="O907" t="s">
        <v>48</v>
      </c>
      <c r="P907" t="s">
        <v>35</v>
      </c>
      <c r="Q907">
        <v>599</v>
      </c>
      <c r="R907">
        <v>433</v>
      </c>
    </row>
    <row r="908" spans="1:18">
      <c r="A908" t="s">
        <v>983</v>
      </c>
      <c r="B908" t="s">
        <v>54</v>
      </c>
      <c r="C908" t="s">
        <v>55</v>
      </c>
      <c r="D908" s="8">
        <v>2023</v>
      </c>
      <c r="E908" s="29">
        <v>3</v>
      </c>
      <c r="F908">
        <v>8</v>
      </c>
      <c r="G908">
        <v>256</v>
      </c>
      <c r="H908">
        <v>83</v>
      </c>
      <c r="I908">
        <v>50</v>
      </c>
      <c r="J908">
        <v>6.67</v>
      </c>
      <c r="K908" t="s">
        <v>56</v>
      </c>
      <c r="L908" t="s">
        <v>59</v>
      </c>
      <c r="M908" t="s">
        <v>60</v>
      </c>
      <c r="N908" t="s">
        <v>24</v>
      </c>
      <c r="O908" t="s">
        <v>34</v>
      </c>
      <c r="P908" t="s">
        <v>26</v>
      </c>
      <c r="Q908">
        <v>549</v>
      </c>
      <c r="R908">
        <v>519</v>
      </c>
    </row>
    <row r="909" spans="1:18">
      <c r="A909" t="s">
        <v>984</v>
      </c>
      <c r="B909" t="s">
        <v>28</v>
      </c>
      <c r="C909" t="s">
        <v>29</v>
      </c>
      <c r="D909" s="8">
        <v>2022</v>
      </c>
      <c r="E909" s="29">
        <v>4</v>
      </c>
      <c r="F909">
        <v>8</v>
      </c>
      <c r="G909">
        <v>512</v>
      </c>
      <c r="H909">
        <v>86</v>
      </c>
      <c r="I909">
        <v>50</v>
      </c>
      <c r="J909">
        <v>6.2</v>
      </c>
      <c r="K909" t="s">
        <v>30</v>
      </c>
      <c r="L909" t="s">
        <v>31</v>
      </c>
      <c r="M909" t="s">
        <v>40</v>
      </c>
      <c r="N909" t="s">
        <v>33</v>
      </c>
      <c r="O909" t="s">
        <v>41</v>
      </c>
      <c r="P909" t="s">
        <v>35</v>
      </c>
      <c r="Q909">
        <v>599</v>
      </c>
      <c r="R909">
        <v>589</v>
      </c>
    </row>
    <row r="910" spans="1:18">
      <c r="A910" t="s">
        <v>985</v>
      </c>
      <c r="B910" t="s">
        <v>73</v>
      </c>
      <c r="C910" t="s">
        <v>105</v>
      </c>
      <c r="D910" s="8">
        <v>2023</v>
      </c>
      <c r="E910" s="29">
        <v>3</v>
      </c>
      <c r="F910">
        <v>4</v>
      </c>
      <c r="G910">
        <v>256</v>
      </c>
      <c r="H910">
        <v>93</v>
      </c>
      <c r="I910">
        <v>48</v>
      </c>
      <c r="J910">
        <v>6.5</v>
      </c>
      <c r="K910" t="s">
        <v>75</v>
      </c>
      <c r="L910" t="s">
        <v>31</v>
      </c>
      <c r="M910" t="s">
        <v>23</v>
      </c>
      <c r="N910" t="s">
        <v>24</v>
      </c>
      <c r="O910" t="s">
        <v>52</v>
      </c>
      <c r="P910" t="s">
        <v>35</v>
      </c>
      <c r="Q910">
        <v>899</v>
      </c>
      <c r="R910">
        <v>842</v>
      </c>
    </row>
    <row r="911" spans="1:18">
      <c r="A911" t="s">
        <v>986</v>
      </c>
      <c r="B911" t="s">
        <v>28</v>
      </c>
      <c r="C911" t="s">
        <v>29</v>
      </c>
      <c r="D911" s="8">
        <v>2022</v>
      </c>
      <c r="E911" s="29">
        <v>4</v>
      </c>
      <c r="F911">
        <v>12</v>
      </c>
      <c r="G911">
        <v>512</v>
      </c>
      <c r="H911">
        <v>93</v>
      </c>
      <c r="I911">
        <v>50</v>
      </c>
      <c r="J911">
        <v>6.7</v>
      </c>
      <c r="K911" t="s">
        <v>30</v>
      </c>
      <c r="L911" t="s">
        <v>31</v>
      </c>
      <c r="M911" t="s">
        <v>47</v>
      </c>
      <c r="N911" t="s">
        <v>33</v>
      </c>
      <c r="O911" t="s">
        <v>61</v>
      </c>
      <c r="P911" t="s">
        <v>26</v>
      </c>
      <c r="Q911">
        <v>599</v>
      </c>
      <c r="R911">
        <v>589</v>
      </c>
    </row>
    <row r="912" spans="1:18">
      <c r="A912" t="s">
        <v>987</v>
      </c>
      <c r="B912" t="s">
        <v>54</v>
      </c>
      <c r="C912" t="s">
        <v>55</v>
      </c>
      <c r="D912" s="8">
        <v>2021</v>
      </c>
      <c r="E912" s="29">
        <v>5</v>
      </c>
      <c r="F912">
        <v>8</v>
      </c>
      <c r="G912">
        <v>512</v>
      </c>
      <c r="H912">
        <v>79</v>
      </c>
      <c r="I912">
        <v>50</v>
      </c>
      <c r="J912">
        <v>6.2</v>
      </c>
      <c r="K912" t="s">
        <v>56</v>
      </c>
      <c r="L912" t="s">
        <v>59</v>
      </c>
      <c r="M912" t="s">
        <v>47</v>
      </c>
      <c r="N912" t="s">
        <v>24</v>
      </c>
      <c r="O912" t="s">
        <v>87</v>
      </c>
      <c r="P912" t="s">
        <v>26</v>
      </c>
      <c r="Q912">
        <v>549</v>
      </c>
      <c r="R912">
        <v>539</v>
      </c>
    </row>
    <row r="913" spans="1:18">
      <c r="A913" t="s">
        <v>988</v>
      </c>
      <c r="B913" t="s">
        <v>89</v>
      </c>
      <c r="C913" t="s">
        <v>90</v>
      </c>
      <c r="D913" s="8">
        <v>2024</v>
      </c>
      <c r="E913" s="29">
        <v>2</v>
      </c>
      <c r="F913">
        <v>12</v>
      </c>
      <c r="G913">
        <v>256</v>
      </c>
      <c r="H913">
        <v>83</v>
      </c>
      <c r="I913">
        <v>48</v>
      </c>
      <c r="J913">
        <v>6.4</v>
      </c>
      <c r="K913" t="s">
        <v>91</v>
      </c>
      <c r="L913" t="s">
        <v>59</v>
      </c>
      <c r="M913" t="s">
        <v>23</v>
      </c>
      <c r="N913" t="s">
        <v>33</v>
      </c>
      <c r="O913" t="s">
        <v>52</v>
      </c>
      <c r="P913" t="s">
        <v>35</v>
      </c>
      <c r="Q913">
        <v>449</v>
      </c>
      <c r="R913">
        <v>428</v>
      </c>
    </row>
    <row r="914" spans="1:18">
      <c r="A914" t="s">
        <v>989</v>
      </c>
      <c r="B914" t="s">
        <v>77</v>
      </c>
      <c r="C914" t="s">
        <v>78</v>
      </c>
      <c r="D914" s="8">
        <v>2021</v>
      </c>
      <c r="E914" s="29">
        <v>5</v>
      </c>
      <c r="F914">
        <v>12</v>
      </c>
      <c r="G914">
        <v>512</v>
      </c>
      <c r="H914">
        <v>75</v>
      </c>
      <c r="I914">
        <v>48</v>
      </c>
      <c r="J914">
        <v>6.67</v>
      </c>
      <c r="K914" t="s">
        <v>79</v>
      </c>
      <c r="L914" t="s">
        <v>22</v>
      </c>
      <c r="M914" t="s">
        <v>40</v>
      </c>
      <c r="N914" t="s">
        <v>33</v>
      </c>
      <c r="O914" t="s">
        <v>52</v>
      </c>
      <c r="P914" t="s">
        <v>26</v>
      </c>
      <c r="Q914">
        <v>699</v>
      </c>
      <c r="R914">
        <v>587</v>
      </c>
    </row>
    <row r="915" spans="1:18">
      <c r="A915" t="s">
        <v>990</v>
      </c>
      <c r="B915" t="s">
        <v>77</v>
      </c>
      <c r="C915" t="s">
        <v>78</v>
      </c>
      <c r="D915" s="8">
        <v>2022</v>
      </c>
      <c r="E915" s="29">
        <v>4</v>
      </c>
      <c r="F915">
        <v>6</v>
      </c>
      <c r="G915">
        <v>64</v>
      </c>
      <c r="H915">
        <v>93</v>
      </c>
      <c r="I915">
        <v>48</v>
      </c>
      <c r="J915">
        <v>6.7</v>
      </c>
      <c r="K915" t="s">
        <v>79</v>
      </c>
      <c r="L915" t="s">
        <v>22</v>
      </c>
      <c r="M915" t="s">
        <v>40</v>
      </c>
      <c r="N915" t="s">
        <v>33</v>
      </c>
      <c r="O915" t="s">
        <v>48</v>
      </c>
      <c r="P915" t="s">
        <v>35</v>
      </c>
      <c r="Q915">
        <v>699</v>
      </c>
      <c r="R915">
        <v>481</v>
      </c>
    </row>
    <row r="916" spans="1:18">
      <c r="A916" t="s">
        <v>991</v>
      </c>
      <c r="B916" t="s">
        <v>73</v>
      </c>
      <c r="C916" t="s">
        <v>74</v>
      </c>
      <c r="D916" s="8">
        <v>2022</v>
      </c>
      <c r="E916" s="29">
        <v>4</v>
      </c>
      <c r="F916">
        <v>4</v>
      </c>
      <c r="G916">
        <v>256</v>
      </c>
      <c r="H916">
        <v>83</v>
      </c>
      <c r="I916">
        <v>64</v>
      </c>
      <c r="J916">
        <v>6.2</v>
      </c>
      <c r="K916" t="s">
        <v>75</v>
      </c>
      <c r="L916" t="s">
        <v>31</v>
      </c>
      <c r="M916" t="s">
        <v>32</v>
      </c>
      <c r="N916" t="s">
        <v>24</v>
      </c>
      <c r="O916" t="s">
        <v>52</v>
      </c>
      <c r="P916" t="s">
        <v>35</v>
      </c>
      <c r="Q916">
        <v>799</v>
      </c>
      <c r="R916">
        <v>778</v>
      </c>
    </row>
    <row r="917" spans="1:18">
      <c r="A917" t="s">
        <v>992</v>
      </c>
      <c r="B917" t="s">
        <v>28</v>
      </c>
      <c r="C917" t="s">
        <v>29</v>
      </c>
      <c r="D917" s="8">
        <v>2020</v>
      </c>
      <c r="E917" s="29">
        <v>6</v>
      </c>
      <c r="F917">
        <v>4</v>
      </c>
      <c r="G917">
        <v>128</v>
      </c>
      <c r="H917">
        <v>76</v>
      </c>
      <c r="I917">
        <v>48</v>
      </c>
      <c r="J917">
        <v>6.1</v>
      </c>
      <c r="K917" t="s">
        <v>30</v>
      </c>
      <c r="L917" t="s">
        <v>59</v>
      </c>
      <c r="M917" t="s">
        <v>86</v>
      </c>
      <c r="N917" t="s">
        <v>33</v>
      </c>
      <c r="O917" t="s">
        <v>48</v>
      </c>
      <c r="P917" t="s">
        <v>26</v>
      </c>
      <c r="Q917">
        <v>599</v>
      </c>
      <c r="R917">
        <v>479</v>
      </c>
    </row>
    <row r="918" spans="1:18">
      <c r="A918" t="s">
        <v>993</v>
      </c>
      <c r="B918" t="s">
        <v>19</v>
      </c>
      <c r="C918" t="s">
        <v>20</v>
      </c>
      <c r="D918" s="8">
        <v>2024</v>
      </c>
      <c r="E918" s="29">
        <v>2</v>
      </c>
      <c r="F918">
        <v>12</v>
      </c>
      <c r="G918">
        <v>512</v>
      </c>
      <c r="H918">
        <v>97</v>
      </c>
      <c r="I918">
        <v>12</v>
      </c>
      <c r="J918">
        <v>6.7</v>
      </c>
      <c r="K918" t="s">
        <v>21</v>
      </c>
      <c r="L918" t="s">
        <v>59</v>
      </c>
      <c r="M918" t="s">
        <v>40</v>
      </c>
      <c r="N918" t="s">
        <v>24</v>
      </c>
      <c r="O918" t="s">
        <v>61</v>
      </c>
      <c r="P918" t="s">
        <v>26</v>
      </c>
      <c r="Q918">
        <v>599</v>
      </c>
      <c r="R918">
        <v>582</v>
      </c>
    </row>
    <row r="919" spans="1:18">
      <c r="A919" t="s">
        <v>994</v>
      </c>
      <c r="B919" t="s">
        <v>89</v>
      </c>
      <c r="C919" t="s">
        <v>115</v>
      </c>
      <c r="D919" s="8">
        <v>2024</v>
      </c>
      <c r="E919" s="29">
        <v>2</v>
      </c>
      <c r="F919">
        <v>12</v>
      </c>
      <c r="G919">
        <v>64</v>
      </c>
      <c r="H919">
        <v>91</v>
      </c>
      <c r="I919">
        <v>64</v>
      </c>
      <c r="J919">
        <v>6.7</v>
      </c>
      <c r="K919" t="s">
        <v>116</v>
      </c>
      <c r="L919" t="s">
        <v>22</v>
      </c>
      <c r="M919" t="s">
        <v>86</v>
      </c>
      <c r="N919" t="s">
        <v>33</v>
      </c>
      <c r="O919" t="s">
        <v>84</v>
      </c>
      <c r="P919" t="s">
        <v>35</v>
      </c>
      <c r="Q919">
        <v>999</v>
      </c>
      <c r="R919">
        <v>651</v>
      </c>
    </row>
    <row r="920" spans="1:18">
      <c r="A920" t="s">
        <v>995</v>
      </c>
      <c r="B920" t="s">
        <v>28</v>
      </c>
      <c r="C920" t="s">
        <v>29</v>
      </c>
      <c r="D920" s="8">
        <v>2022</v>
      </c>
      <c r="E920" s="29">
        <v>4</v>
      </c>
      <c r="F920">
        <v>6</v>
      </c>
      <c r="G920">
        <v>64</v>
      </c>
      <c r="H920">
        <v>91</v>
      </c>
      <c r="I920">
        <v>50</v>
      </c>
      <c r="J920">
        <v>6.78</v>
      </c>
      <c r="K920" t="s">
        <v>30</v>
      </c>
      <c r="L920" t="s">
        <v>31</v>
      </c>
      <c r="M920" t="s">
        <v>23</v>
      </c>
      <c r="N920" t="s">
        <v>33</v>
      </c>
      <c r="O920" t="s">
        <v>52</v>
      </c>
      <c r="P920" t="s">
        <v>35</v>
      </c>
      <c r="Q920">
        <v>599</v>
      </c>
      <c r="R920">
        <v>574</v>
      </c>
    </row>
    <row r="921" spans="1:18">
      <c r="A921" t="s">
        <v>996</v>
      </c>
      <c r="B921" t="s">
        <v>44</v>
      </c>
      <c r="C921" t="s">
        <v>45</v>
      </c>
      <c r="D921" s="8">
        <v>2023</v>
      </c>
      <c r="E921" s="29">
        <v>3</v>
      </c>
      <c r="F921">
        <v>4</v>
      </c>
      <c r="G921">
        <v>128</v>
      </c>
      <c r="H921">
        <v>100</v>
      </c>
      <c r="I921">
        <v>108</v>
      </c>
      <c r="J921">
        <v>6.7</v>
      </c>
      <c r="K921" t="s">
        <v>46</v>
      </c>
      <c r="L921" t="s">
        <v>59</v>
      </c>
      <c r="M921" t="s">
        <v>40</v>
      </c>
      <c r="N921" t="s">
        <v>24</v>
      </c>
      <c r="O921" t="s">
        <v>34</v>
      </c>
      <c r="P921" t="s">
        <v>26</v>
      </c>
      <c r="Q921">
        <v>799</v>
      </c>
      <c r="R921">
        <v>673</v>
      </c>
    </row>
    <row r="922" spans="1:18">
      <c r="A922" t="s">
        <v>997</v>
      </c>
      <c r="B922" t="s">
        <v>54</v>
      </c>
      <c r="C922" t="s">
        <v>55</v>
      </c>
      <c r="D922" s="8">
        <v>2021</v>
      </c>
      <c r="E922" s="29">
        <v>5</v>
      </c>
      <c r="F922">
        <v>12</v>
      </c>
      <c r="G922">
        <v>512</v>
      </c>
      <c r="H922">
        <v>76</v>
      </c>
      <c r="I922">
        <v>50</v>
      </c>
      <c r="J922">
        <v>6.78</v>
      </c>
      <c r="K922" t="s">
        <v>56</v>
      </c>
      <c r="L922" t="s">
        <v>59</v>
      </c>
      <c r="M922" t="s">
        <v>86</v>
      </c>
      <c r="N922" t="s">
        <v>24</v>
      </c>
      <c r="O922" t="s">
        <v>87</v>
      </c>
      <c r="P922" t="s">
        <v>35</v>
      </c>
      <c r="Q922">
        <v>549</v>
      </c>
      <c r="R922">
        <v>534</v>
      </c>
    </row>
    <row r="923" spans="1:18">
      <c r="A923" t="s">
        <v>998</v>
      </c>
      <c r="B923" t="s">
        <v>28</v>
      </c>
      <c r="C923" t="s">
        <v>29</v>
      </c>
      <c r="D923" s="8">
        <v>2023</v>
      </c>
      <c r="E923" s="29">
        <v>3</v>
      </c>
      <c r="F923">
        <v>4</v>
      </c>
      <c r="G923">
        <v>128</v>
      </c>
      <c r="H923">
        <v>76</v>
      </c>
      <c r="I923">
        <v>64</v>
      </c>
      <c r="J923">
        <v>6.5</v>
      </c>
      <c r="K923" t="s">
        <v>30</v>
      </c>
      <c r="L923" t="s">
        <v>22</v>
      </c>
      <c r="M923" t="s">
        <v>47</v>
      </c>
      <c r="N923" t="s">
        <v>33</v>
      </c>
      <c r="O923" t="s">
        <v>34</v>
      </c>
      <c r="P923" t="s">
        <v>35</v>
      </c>
      <c r="Q923">
        <v>599</v>
      </c>
      <c r="R923">
        <v>398</v>
      </c>
    </row>
    <row r="924" spans="1:18">
      <c r="A924" t="s">
        <v>999</v>
      </c>
      <c r="B924" t="s">
        <v>68</v>
      </c>
      <c r="C924" t="s">
        <v>81</v>
      </c>
      <c r="D924" s="8">
        <v>2023</v>
      </c>
      <c r="E924" s="29">
        <v>3</v>
      </c>
      <c r="F924">
        <v>8</v>
      </c>
      <c r="G924">
        <v>512</v>
      </c>
      <c r="H924">
        <v>95</v>
      </c>
      <c r="I924">
        <v>108</v>
      </c>
      <c r="J924">
        <v>6.4</v>
      </c>
      <c r="K924" t="s">
        <v>82</v>
      </c>
      <c r="L924" t="s">
        <v>22</v>
      </c>
      <c r="M924" t="s">
        <v>40</v>
      </c>
      <c r="N924" t="s">
        <v>24</v>
      </c>
      <c r="O924" t="s">
        <v>25</v>
      </c>
      <c r="P924" t="s">
        <v>35</v>
      </c>
      <c r="Q924">
        <v>299</v>
      </c>
      <c r="R924">
        <v>289</v>
      </c>
    </row>
    <row r="925" spans="1:18">
      <c r="A925" t="s">
        <v>1000</v>
      </c>
      <c r="B925" t="s">
        <v>19</v>
      </c>
      <c r="C925" t="s">
        <v>20</v>
      </c>
      <c r="D925" s="8">
        <v>2020</v>
      </c>
      <c r="E925" s="29">
        <v>6</v>
      </c>
      <c r="F925">
        <v>12</v>
      </c>
      <c r="G925">
        <v>64</v>
      </c>
      <c r="H925">
        <v>96</v>
      </c>
      <c r="I925">
        <v>12</v>
      </c>
      <c r="J925">
        <v>6.1</v>
      </c>
      <c r="K925" t="s">
        <v>21</v>
      </c>
      <c r="L925" t="s">
        <v>31</v>
      </c>
      <c r="M925" t="s">
        <v>32</v>
      </c>
      <c r="N925" t="s">
        <v>24</v>
      </c>
      <c r="O925" t="s">
        <v>87</v>
      </c>
      <c r="P925" t="s">
        <v>35</v>
      </c>
      <c r="Q925">
        <v>599</v>
      </c>
      <c r="R925">
        <v>589</v>
      </c>
    </row>
    <row r="926" spans="1:18">
      <c r="A926" t="s">
        <v>1001</v>
      </c>
      <c r="B926" t="s">
        <v>64</v>
      </c>
      <c r="C926" t="s">
        <v>65</v>
      </c>
      <c r="D926" s="8">
        <v>2021</v>
      </c>
      <c r="E926" s="29">
        <v>5</v>
      </c>
      <c r="F926">
        <v>4</v>
      </c>
      <c r="G926">
        <v>128</v>
      </c>
      <c r="H926">
        <v>76</v>
      </c>
      <c r="I926">
        <v>12</v>
      </c>
      <c r="J926">
        <v>6.1</v>
      </c>
      <c r="K926" t="s">
        <v>66</v>
      </c>
      <c r="L926" t="s">
        <v>57</v>
      </c>
      <c r="M926" t="s">
        <v>40</v>
      </c>
      <c r="N926" t="s">
        <v>24</v>
      </c>
      <c r="O926" t="s">
        <v>48</v>
      </c>
      <c r="P926" t="s">
        <v>26</v>
      </c>
      <c r="Q926">
        <v>499</v>
      </c>
      <c r="R926">
        <v>271</v>
      </c>
    </row>
    <row r="927" spans="1:18">
      <c r="A927" t="s">
        <v>1002</v>
      </c>
      <c r="B927" t="s">
        <v>64</v>
      </c>
      <c r="C927" t="s">
        <v>65</v>
      </c>
      <c r="D927" s="8">
        <v>2020</v>
      </c>
      <c r="E927" s="29">
        <v>6</v>
      </c>
      <c r="F927">
        <v>6</v>
      </c>
      <c r="G927">
        <v>256</v>
      </c>
      <c r="H927">
        <v>95</v>
      </c>
      <c r="I927">
        <v>12</v>
      </c>
      <c r="J927">
        <v>6.78</v>
      </c>
      <c r="K927" t="s">
        <v>66</v>
      </c>
      <c r="L927" t="s">
        <v>22</v>
      </c>
      <c r="M927" t="s">
        <v>40</v>
      </c>
      <c r="N927" t="s">
        <v>33</v>
      </c>
      <c r="O927" t="s">
        <v>41</v>
      </c>
      <c r="P927" t="s">
        <v>35</v>
      </c>
      <c r="Q927">
        <v>499</v>
      </c>
      <c r="R927">
        <v>384</v>
      </c>
    </row>
    <row r="928" spans="1:18">
      <c r="A928" t="s">
        <v>1003</v>
      </c>
      <c r="B928" t="s">
        <v>64</v>
      </c>
      <c r="C928" t="s">
        <v>65</v>
      </c>
      <c r="D928" s="8">
        <v>2023</v>
      </c>
      <c r="E928" s="29">
        <v>3</v>
      </c>
      <c r="F928">
        <v>8</v>
      </c>
      <c r="G928">
        <v>256</v>
      </c>
      <c r="H928">
        <v>76</v>
      </c>
      <c r="I928">
        <v>48</v>
      </c>
      <c r="J928">
        <v>6.7</v>
      </c>
      <c r="K928" t="s">
        <v>66</v>
      </c>
      <c r="L928" t="s">
        <v>22</v>
      </c>
      <c r="M928" t="s">
        <v>86</v>
      </c>
      <c r="N928" t="s">
        <v>24</v>
      </c>
      <c r="O928" t="s">
        <v>34</v>
      </c>
      <c r="P928" t="s">
        <v>26</v>
      </c>
      <c r="Q928">
        <v>499</v>
      </c>
      <c r="R928">
        <v>407</v>
      </c>
    </row>
    <row r="929" spans="1:18">
      <c r="A929" t="s">
        <v>1004</v>
      </c>
      <c r="B929" t="s">
        <v>89</v>
      </c>
      <c r="C929" t="s">
        <v>115</v>
      </c>
      <c r="D929" s="8">
        <v>2021</v>
      </c>
      <c r="E929" s="29">
        <v>5</v>
      </c>
      <c r="F929">
        <v>12</v>
      </c>
      <c r="G929">
        <v>256</v>
      </c>
      <c r="H929">
        <v>80</v>
      </c>
      <c r="I929">
        <v>50</v>
      </c>
      <c r="J929">
        <v>6.2</v>
      </c>
      <c r="K929" t="s">
        <v>116</v>
      </c>
      <c r="L929" t="s">
        <v>31</v>
      </c>
      <c r="M929" t="s">
        <v>60</v>
      </c>
      <c r="N929" t="s">
        <v>24</v>
      </c>
      <c r="O929" t="s">
        <v>61</v>
      </c>
      <c r="P929" t="s">
        <v>35</v>
      </c>
      <c r="Q929">
        <v>999</v>
      </c>
      <c r="R929">
        <v>967</v>
      </c>
    </row>
    <row r="930" spans="1:18">
      <c r="A930" t="s">
        <v>1005</v>
      </c>
      <c r="B930" t="s">
        <v>73</v>
      </c>
      <c r="C930" t="s">
        <v>122</v>
      </c>
      <c r="D930" s="8">
        <v>2022</v>
      </c>
      <c r="E930" s="29">
        <v>4</v>
      </c>
      <c r="F930">
        <v>4</v>
      </c>
      <c r="G930">
        <v>512</v>
      </c>
      <c r="H930">
        <v>93</v>
      </c>
      <c r="I930">
        <v>50</v>
      </c>
      <c r="J930">
        <v>6.4</v>
      </c>
      <c r="K930" t="s">
        <v>123</v>
      </c>
      <c r="L930" t="s">
        <v>59</v>
      </c>
      <c r="M930" t="s">
        <v>86</v>
      </c>
      <c r="N930" t="s">
        <v>33</v>
      </c>
      <c r="O930" t="s">
        <v>34</v>
      </c>
      <c r="P930" t="s">
        <v>35</v>
      </c>
      <c r="Q930">
        <v>699</v>
      </c>
      <c r="R930">
        <v>630</v>
      </c>
    </row>
    <row r="931" spans="1:18">
      <c r="A931" t="s">
        <v>1006</v>
      </c>
      <c r="B931" t="s">
        <v>54</v>
      </c>
      <c r="C931" t="s">
        <v>55</v>
      </c>
      <c r="D931" s="8">
        <v>2023</v>
      </c>
      <c r="E931" s="29">
        <v>3</v>
      </c>
      <c r="F931">
        <v>8</v>
      </c>
      <c r="G931">
        <v>64</v>
      </c>
      <c r="H931">
        <v>95</v>
      </c>
      <c r="I931">
        <v>50</v>
      </c>
      <c r="J931">
        <v>6.5</v>
      </c>
      <c r="K931" t="s">
        <v>56</v>
      </c>
      <c r="L931" t="s">
        <v>22</v>
      </c>
      <c r="M931" t="s">
        <v>32</v>
      </c>
      <c r="N931" t="s">
        <v>24</v>
      </c>
      <c r="O931" t="s">
        <v>25</v>
      </c>
      <c r="P931" t="s">
        <v>35</v>
      </c>
      <c r="Q931">
        <v>549</v>
      </c>
      <c r="R931">
        <v>377</v>
      </c>
    </row>
    <row r="932" spans="1:18">
      <c r="A932" t="s">
        <v>1007</v>
      </c>
      <c r="B932" t="s">
        <v>73</v>
      </c>
      <c r="C932" t="s">
        <v>74</v>
      </c>
      <c r="D932" s="8">
        <v>2021</v>
      </c>
      <c r="E932" s="29">
        <v>5</v>
      </c>
      <c r="F932">
        <v>12</v>
      </c>
      <c r="G932">
        <v>256</v>
      </c>
      <c r="H932">
        <v>85</v>
      </c>
      <c r="I932">
        <v>50</v>
      </c>
      <c r="J932">
        <v>6.1</v>
      </c>
      <c r="K932" t="s">
        <v>75</v>
      </c>
      <c r="L932" t="s">
        <v>57</v>
      </c>
      <c r="M932" t="s">
        <v>60</v>
      </c>
      <c r="N932" t="s">
        <v>33</v>
      </c>
      <c r="O932" t="s">
        <v>48</v>
      </c>
      <c r="P932" t="s">
        <v>26</v>
      </c>
      <c r="Q932">
        <v>799</v>
      </c>
      <c r="R932">
        <v>456</v>
      </c>
    </row>
    <row r="933" spans="1:18">
      <c r="A933" t="s">
        <v>1008</v>
      </c>
      <c r="B933" t="s">
        <v>73</v>
      </c>
      <c r="C933" t="s">
        <v>74</v>
      </c>
      <c r="D933" s="8">
        <v>2024</v>
      </c>
      <c r="E933" s="29">
        <v>2</v>
      </c>
      <c r="F933">
        <v>8</v>
      </c>
      <c r="G933">
        <v>256</v>
      </c>
      <c r="H933">
        <v>77</v>
      </c>
      <c r="I933">
        <v>108</v>
      </c>
      <c r="J933">
        <v>6.67</v>
      </c>
      <c r="K933" t="s">
        <v>75</v>
      </c>
      <c r="L933" t="s">
        <v>59</v>
      </c>
      <c r="M933" t="s">
        <v>86</v>
      </c>
      <c r="N933" t="s">
        <v>24</v>
      </c>
      <c r="O933" t="s">
        <v>41</v>
      </c>
      <c r="P933" t="s">
        <v>35</v>
      </c>
      <c r="Q933">
        <v>799</v>
      </c>
      <c r="R933">
        <v>704</v>
      </c>
    </row>
    <row r="934" spans="1:18">
      <c r="A934" t="s">
        <v>1009</v>
      </c>
      <c r="B934" t="s">
        <v>28</v>
      </c>
      <c r="C934" t="s">
        <v>29</v>
      </c>
      <c r="D934" s="8">
        <v>2024</v>
      </c>
      <c r="E934" s="29">
        <v>2</v>
      </c>
      <c r="F934">
        <v>4</v>
      </c>
      <c r="G934">
        <v>64</v>
      </c>
      <c r="H934">
        <v>98</v>
      </c>
      <c r="I934">
        <v>12</v>
      </c>
      <c r="J934">
        <v>6.7</v>
      </c>
      <c r="K934" t="s">
        <v>30</v>
      </c>
      <c r="L934" t="s">
        <v>59</v>
      </c>
      <c r="M934" t="s">
        <v>23</v>
      </c>
      <c r="N934" t="s">
        <v>24</v>
      </c>
      <c r="O934" t="s">
        <v>61</v>
      </c>
      <c r="P934" t="s">
        <v>26</v>
      </c>
      <c r="Q934">
        <v>599</v>
      </c>
      <c r="R934">
        <v>503</v>
      </c>
    </row>
    <row r="935" spans="1:18">
      <c r="A935" t="s">
        <v>1010</v>
      </c>
      <c r="B935" t="s">
        <v>54</v>
      </c>
      <c r="C935" t="s">
        <v>55</v>
      </c>
      <c r="D935" s="8">
        <v>2020</v>
      </c>
      <c r="E935" s="29">
        <v>6</v>
      </c>
      <c r="F935">
        <v>4</v>
      </c>
      <c r="G935">
        <v>64</v>
      </c>
      <c r="H935">
        <v>82</v>
      </c>
      <c r="I935">
        <v>64</v>
      </c>
      <c r="J935">
        <v>6.1</v>
      </c>
      <c r="K935" t="s">
        <v>56</v>
      </c>
      <c r="L935" t="s">
        <v>22</v>
      </c>
      <c r="M935" t="s">
        <v>40</v>
      </c>
      <c r="N935" t="s">
        <v>33</v>
      </c>
      <c r="O935" t="s">
        <v>34</v>
      </c>
      <c r="P935" t="s">
        <v>26</v>
      </c>
      <c r="Q935">
        <v>549</v>
      </c>
      <c r="R935">
        <v>363</v>
      </c>
    </row>
    <row r="936" spans="1:18">
      <c r="A936" t="s">
        <v>1011</v>
      </c>
      <c r="B936" t="s">
        <v>37</v>
      </c>
      <c r="C936" t="s">
        <v>38</v>
      </c>
      <c r="D936" s="8">
        <v>2020</v>
      </c>
      <c r="E936" s="29">
        <v>6</v>
      </c>
      <c r="F936">
        <v>12</v>
      </c>
      <c r="G936">
        <v>256</v>
      </c>
      <c r="H936">
        <v>92</v>
      </c>
      <c r="I936">
        <v>64</v>
      </c>
      <c r="J936">
        <v>6.2</v>
      </c>
      <c r="K936" t="s">
        <v>39</v>
      </c>
      <c r="L936" t="s">
        <v>22</v>
      </c>
      <c r="M936" t="s">
        <v>47</v>
      </c>
      <c r="N936" t="s">
        <v>33</v>
      </c>
      <c r="O936" t="s">
        <v>87</v>
      </c>
      <c r="P936" t="s">
        <v>26</v>
      </c>
      <c r="Q936">
        <v>599</v>
      </c>
      <c r="R936">
        <v>453</v>
      </c>
    </row>
    <row r="937" spans="1:18">
      <c r="A937" t="s">
        <v>1012</v>
      </c>
      <c r="B937" t="s">
        <v>77</v>
      </c>
      <c r="C937" t="s">
        <v>78</v>
      </c>
      <c r="D937" s="8">
        <v>2023</v>
      </c>
      <c r="E937" s="29">
        <v>3</v>
      </c>
      <c r="F937">
        <v>4</v>
      </c>
      <c r="G937">
        <v>64</v>
      </c>
      <c r="H937">
        <v>91</v>
      </c>
      <c r="I937">
        <v>108</v>
      </c>
      <c r="J937">
        <v>6.1</v>
      </c>
      <c r="K937" t="s">
        <v>79</v>
      </c>
      <c r="L937" t="s">
        <v>22</v>
      </c>
      <c r="M937" t="s">
        <v>86</v>
      </c>
      <c r="N937" t="s">
        <v>33</v>
      </c>
      <c r="O937" t="s">
        <v>48</v>
      </c>
      <c r="P937" t="s">
        <v>35</v>
      </c>
      <c r="Q937">
        <v>699</v>
      </c>
      <c r="R937">
        <v>456</v>
      </c>
    </row>
    <row r="938" spans="1:18">
      <c r="A938" t="s">
        <v>1013</v>
      </c>
      <c r="B938" t="s">
        <v>54</v>
      </c>
      <c r="C938" t="s">
        <v>55</v>
      </c>
      <c r="D938" s="8">
        <v>2022</v>
      </c>
      <c r="E938" s="29">
        <v>4</v>
      </c>
      <c r="F938">
        <v>12</v>
      </c>
      <c r="G938">
        <v>64</v>
      </c>
      <c r="H938">
        <v>77</v>
      </c>
      <c r="I938">
        <v>12</v>
      </c>
      <c r="J938">
        <v>6.78</v>
      </c>
      <c r="K938" t="s">
        <v>56</v>
      </c>
      <c r="L938" t="s">
        <v>59</v>
      </c>
      <c r="M938" t="s">
        <v>86</v>
      </c>
      <c r="N938" t="s">
        <v>33</v>
      </c>
      <c r="O938" t="s">
        <v>25</v>
      </c>
      <c r="P938" t="s">
        <v>35</v>
      </c>
      <c r="Q938">
        <v>549</v>
      </c>
      <c r="R938">
        <v>480</v>
      </c>
    </row>
    <row r="939" spans="1:18">
      <c r="A939" t="s">
        <v>1014</v>
      </c>
      <c r="B939" t="s">
        <v>64</v>
      </c>
      <c r="C939" t="s">
        <v>65</v>
      </c>
      <c r="D939" s="8">
        <v>2023</v>
      </c>
      <c r="E939" s="29">
        <v>3</v>
      </c>
      <c r="F939">
        <v>12</v>
      </c>
      <c r="G939">
        <v>512</v>
      </c>
      <c r="H939">
        <v>76</v>
      </c>
      <c r="I939">
        <v>50</v>
      </c>
      <c r="J939">
        <v>6.2</v>
      </c>
      <c r="K939" t="s">
        <v>66</v>
      </c>
      <c r="L939" t="s">
        <v>22</v>
      </c>
      <c r="M939" t="s">
        <v>23</v>
      </c>
      <c r="N939" t="s">
        <v>33</v>
      </c>
      <c r="O939" t="s">
        <v>34</v>
      </c>
      <c r="P939" t="s">
        <v>26</v>
      </c>
      <c r="Q939">
        <v>499</v>
      </c>
      <c r="R939">
        <v>425</v>
      </c>
    </row>
    <row r="940" spans="1:18">
      <c r="A940" t="s">
        <v>1015</v>
      </c>
      <c r="B940" t="s">
        <v>37</v>
      </c>
      <c r="C940" t="s">
        <v>38</v>
      </c>
      <c r="D940" s="8">
        <v>2022</v>
      </c>
      <c r="E940" s="29">
        <v>4</v>
      </c>
      <c r="F940">
        <v>6</v>
      </c>
      <c r="G940">
        <v>256</v>
      </c>
      <c r="H940">
        <v>82</v>
      </c>
      <c r="I940">
        <v>108</v>
      </c>
      <c r="J940">
        <v>6.4</v>
      </c>
      <c r="K940" t="s">
        <v>39</v>
      </c>
      <c r="L940" t="s">
        <v>22</v>
      </c>
      <c r="M940" t="s">
        <v>23</v>
      </c>
      <c r="N940" t="s">
        <v>24</v>
      </c>
      <c r="O940" t="s">
        <v>34</v>
      </c>
      <c r="P940" t="s">
        <v>35</v>
      </c>
      <c r="Q940">
        <v>599</v>
      </c>
      <c r="R940">
        <v>424</v>
      </c>
    </row>
    <row r="941" spans="1:18">
      <c r="A941" t="s">
        <v>1016</v>
      </c>
      <c r="B941" t="s">
        <v>73</v>
      </c>
      <c r="C941" t="s">
        <v>74</v>
      </c>
      <c r="D941" s="8">
        <v>2020</v>
      </c>
      <c r="E941" s="29">
        <v>6</v>
      </c>
      <c r="F941">
        <v>4</v>
      </c>
      <c r="G941">
        <v>512</v>
      </c>
      <c r="H941">
        <v>90</v>
      </c>
      <c r="I941">
        <v>108</v>
      </c>
      <c r="J941">
        <v>6.7</v>
      </c>
      <c r="K941" t="s">
        <v>75</v>
      </c>
      <c r="L941" t="s">
        <v>59</v>
      </c>
      <c r="M941" t="s">
        <v>40</v>
      </c>
      <c r="N941" t="s">
        <v>33</v>
      </c>
      <c r="O941" t="s">
        <v>48</v>
      </c>
      <c r="P941" t="s">
        <v>35</v>
      </c>
      <c r="Q941">
        <v>799</v>
      </c>
      <c r="R941">
        <v>732</v>
      </c>
    </row>
    <row r="942" spans="1:18">
      <c r="A942" t="s">
        <v>1017</v>
      </c>
      <c r="B942" t="s">
        <v>89</v>
      </c>
      <c r="C942" t="s">
        <v>115</v>
      </c>
      <c r="D942" s="8">
        <v>2024</v>
      </c>
      <c r="E942" s="29">
        <v>2</v>
      </c>
      <c r="F942">
        <v>6</v>
      </c>
      <c r="G942">
        <v>512</v>
      </c>
      <c r="H942">
        <v>95</v>
      </c>
      <c r="I942">
        <v>64</v>
      </c>
      <c r="J942">
        <v>6.4</v>
      </c>
      <c r="K942" t="s">
        <v>116</v>
      </c>
      <c r="L942" t="s">
        <v>59</v>
      </c>
      <c r="M942" t="s">
        <v>23</v>
      </c>
      <c r="N942" t="s">
        <v>33</v>
      </c>
      <c r="O942" t="s">
        <v>52</v>
      </c>
      <c r="P942" t="s">
        <v>35</v>
      </c>
      <c r="Q942">
        <v>999</v>
      </c>
      <c r="R942">
        <v>895</v>
      </c>
    </row>
    <row r="943" spans="1:18">
      <c r="A943" t="s">
        <v>1018</v>
      </c>
      <c r="B943" t="s">
        <v>37</v>
      </c>
      <c r="C943" t="s">
        <v>38</v>
      </c>
      <c r="D943" s="8">
        <v>2022</v>
      </c>
      <c r="E943" s="29">
        <v>4</v>
      </c>
      <c r="F943">
        <v>4</v>
      </c>
      <c r="G943">
        <v>64</v>
      </c>
      <c r="H943">
        <v>91</v>
      </c>
      <c r="I943">
        <v>50</v>
      </c>
      <c r="J943">
        <v>6.1</v>
      </c>
      <c r="K943" t="s">
        <v>39</v>
      </c>
      <c r="L943" t="s">
        <v>59</v>
      </c>
      <c r="M943" t="s">
        <v>32</v>
      </c>
      <c r="N943" t="s">
        <v>33</v>
      </c>
      <c r="O943" t="s">
        <v>87</v>
      </c>
      <c r="P943" t="s">
        <v>35</v>
      </c>
      <c r="Q943">
        <v>599</v>
      </c>
      <c r="R943">
        <v>477</v>
      </c>
    </row>
    <row r="944" spans="1:18">
      <c r="A944" t="s">
        <v>1019</v>
      </c>
      <c r="B944" t="s">
        <v>77</v>
      </c>
      <c r="C944" t="s">
        <v>78</v>
      </c>
      <c r="D944" s="8">
        <v>2024</v>
      </c>
      <c r="E944" s="29">
        <v>2</v>
      </c>
      <c r="F944">
        <v>8</v>
      </c>
      <c r="G944">
        <v>512</v>
      </c>
      <c r="H944">
        <v>83</v>
      </c>
      <c r="I944">
        <v>48</v>
      </c>
      <c r="J944">
        <v>6.4</v>
      </c>
      <c r="K944" t="s">
        <v>79</v>
      </c>
      <c r="L944" t="s">
        <v>22</v>
      </c>
      <c r="M944" t="s">
        <v>47</v>
      </c>
      <c r="N944" t="s">
        <v>24</v>
      </c>
      <c r="O944" t="s">
        <v>61</v>
      </c>
      <c r="P944" t="s">
        <v>35</v>
      </c>
      <c r="Q944">
        <v>699</v>
      </c>
      <c r="R944">
        <v>571</v>
      </c>
    </row>
    <row r="945" spans="1:18">
      <c r="A945" t="s">
        <v>1020</v>
      </c>
      <c r="B945" t="s">
        <v>73</v>
      </c>
      <c r="C945" t="s">
        <v>105</v>
      </c>
      <c r="D945" s="8">
        <v>2023</v>
      </c>
      <c r="E945" s="29">
        <v>3</v>
      </c>
      <c r="F945">
        <v>6</v>
      </c>
      <c r="G945">
        <v>64</v>
      </c>
      <c r="H945">
        <v>89</v>
      </c>
      <c r="I945">
        <v>108</v>
      </c>
      <c r="J945">
        <v>6.7</v>
      </c>
      <c r="K945" t="s">
        <v>75</v>
      </c>
      <c r="L945" t="s">
        <v>59</v>
      </c>
      <c r="M945" t="s">
        <v>86</v>
      </c>
      <c r="N945" t="s">
        <v>24</v>
      </c>
      <c r="O945" t="s">
        <v>41</v>
      </c>
      <c r="P945" t="s">
        <v>26</v>
      </c>
      <c r="Q945">
        <v>899</v>
      </c>
      <c r="R945">
        <v>744</v>
      </c>
    </row>
    <row r="946" spans="1:18">
      <c r="A946" t="s">
        <v>1021</v>
      </c>
      <c r="B946" t="s">
        <v>19</v>
      </c>
      <c r="C946" t="s">
        <v>20</v>
      </c>
      <c r="D946" s="8">
        <v>2021</v>
      </c>
      <c r="E946" s="29">
        <v>5</v>
      </c>
      <c r="F946">
        <v>8</v>
      </c>
      <c r="G946">
        <v>64</v>
      </c>
      <c r="H946">
        <v>81</v>
      </c>
      <c r="I946">
        <v>108</v>
      </c>
      <c r="J946">
        <v>6.4</v>
      </c>
      <c r="K946" t="s">
        <v>21</v>
      </c>
      <c r="L946" t="s">
        <v>22</v>
      </c>
      <c r="M946" t="s">
        <v>23</v>
      </c>
      <c r="N946" t="s">
        <v>24</v>
      </c>
      <c r="O946" t="s">
        <v>34</v>
      </c>
      <c r="P946" t="s">
        <v>26</v>
      </c>
      <c r="Q946">
        <v>599</v>
      </c>
      <c r="R946">
        <v>419</v>
      </c>
    </row>
    <row r="947" spans="1:18">
      <c r="A947" t="s">
        <v>1022</v>
      </c>
      <c r="B947" t="s">
        <v>44</v>
      </c>
      <c r="C947" t="s">
        <v>45</v>
      </c>
      <c r="D947" s="8">
        <v>2020</v>
      </c>
      <c r="E947" s="29">
        <v>6</v>
      </c>
      <c r="F947">
        <v>12</v>
      </c>
      <c r="G947">
        <v>128</v>
      </c>
      <c r="H947">
        <v>92</v>
      </c>
      <c r="I947">
        <v>12</v>
      </c>
      <c r="J947">
        <v>6.7</v>
      </c>
      <c r="K947" t="s">
        <v>46</v>
      </c>
      <c r="L947" t="s">
        <v>22</v>
      </c>
      <c r="M947" t="s">
        <v>60</v>
      </c>
      <c r="N947" t="s">
        <v>33</v>
      </c>
      <c r="O947" t="s">
        <v>87</v>
      </c>
      <c r="P947" t="s">
        <v>26</v>
      </c>
      <c r="Q947">
        <v>799</v>
      </c>
      <c r="R947">
        <v>550</v>
      </c>
    </row>
    <row r="948" spans="1:18">
      <c r="A948" t="s">
        <v>1023</v>
      </c>
      <c r="B948" t="s">
        <v>44</v>
      </c>
      <c r="C948" t="s">
        <v>45</v>
      </c>
      <c r="D948" s="8">
        <v>2024</v>
      </c>
      <c r="E948" s="29">
        <v>2</v>
      </c>
      <c r="F948">
        <v>4</v>
      </c>
      <c r="G948">
        <v>512</v>
      </c>
      <c r="H948">
        <v>91</v>
      </c>
      <c r="I948">
        <v>12</v>
      </c>
      <c r="J948">
        <v>6.5</v>
      </c>
      <c r="K948" t="s">
        <v>46</v>
      </c>
      <c r="L948" t="s">
        <v>22</v>
      </c>
      <c r="M948" t="s">
        <v>60</v>
      </c>
      <c r="N948" t="s">
        <v>24</v>
      </c>
      <c r="O948" t="s">
        <v>34</v>
      </c>
      <c r="P948" t="s">
        <v>26</v>
      </c>
      <c r="Q948">
        <v>799</v>
      </c>
      <c r="R948">
        <v>588</v>
      </c>
    </row>
    <row r="949" spans="1:18">
      <c r="A949" t="s">
        <v>1024</v>
      </c>
      <c r="B949" t="s">
        <v>54</v>
      </c>
      <c r="C949" t="s">
        <v>55</v>
      </c>
      <c r="D949" s="8">
        <v>2023</v>
      </c>
      <c r="E949" s="29">
        <v>3</v>
      </c>
      <c r="F949">
        <v>6</v>
      </c>
      <c r="G949">
        <v>64</v>
      </c>
      <c r="H949">
        <v>85</v>
      </c>
      <c r="I949">
        <v>108</v>
      </c>
      <c r="J949">
        <v>6.7</v>
      </c>
      <c r="K949" t="s">
        <v>56</v>
      </c>
      <c r="L949" t="s">
        <v>59</v>
      </c>
      <c r="M949" t="s">
        <v>40</v>
      </c>
      <c r="N949" t="s">
        <v>24</v>
      </c>
      <c r="O949" t="s">
        <v>25</v>
      </c>
      <c r="P949" t="s">
        <v>26</v>
      </c>
      <c r="Q949">
        <v>549</v>
      </c>
      <c r="R949">
        <v>443</v>
      </c>
    </row>
    <row r="950" spans="1:18">
      <c r="A950" t="s">
        <v>1025</v>
      </c>
      <c r="B950" t="s">
        <v>54</v>
      </c>
      <c r="C950" t="s">
        <v>55</v>
      </c>
      <c r="D950" s="8">
        <v>2021</v>
      </c>
      <c r="E950" s="29">
        <v>5</v>
      </c>
      <c r="F950">
        <v>6</v>
      </c>
      <c r="G950">
        <v>512</v>
      </c>
      <c r="H950">
        <v>82</v>
      </c>
      <c r="I950">
        <v>48</v>
      </c>
      <c r="J950">
        <v>6.4</v>
      </c>
      <c r="K950" t="s">
        <v>56</v>
      </c>
      <c r="L950" t="s">
        <v>59</v>
      </c>
      <c r="M950" t="s">
        <v>32</v>
      </c>
      <c r="N950" t="s">
        <v>33</v>
      </c>
      <c r="O950" t="s">
        <v>25</v>
      </c>
      <c r="P950" t="s">
        <v>26</v>
      </c>
      <c r="Q950">
        <v>549</v>
      </c>
      <c r="R950">
        <v>539</v>
      </c>
    </row>
    <row r="951" spans="1:18">
      <c r="A951" t="s">
        <v>1026</v>
      </c>
      <c r="B951" t="s">
        <v>54</v>
      </c>
      <c r="C951" t="s">
        <v>55</v>
      </c>
      <c r="D951" s="8">
        <v>2022</v>
      </c>
      <c r="E951" s="29">
        <v>4</v>
      </c>
      <c r="F951">
        <v>8</v>
      </c>
      <c r="G951">
        <v>256</v>
      </c>
      <c r="H951">
        <v>77</v>
      </c>
      <c r="I951">
        <v>108</v>
      </c>
      <c r="J951">
        <v>6.5</v>
      </c>
      <c r="K951" t="s">
        <v>56</v>
      </c>
      <c r="L951" t="s">
        <v>22</v>
      </c>
      <c r="M951" t="s">
        <v>86</v>
      </c>
      <c r="N951" t="s">
        <v>24</v>
      </c>
      <c r="O951" t="s">
        <v>87</v>
      </c>
      <c r="P951" t="s">
        <v>26</v>
      </c>
      <c r="Q951">
        <v>549</v>
      </c>
      <c r="R951">
        <v>397</v>
      </c>
    </row>
    <row r="952" spans="1:18">
      <c r="A952" t="s">
        <v>1027</v>
      </c>
      <c r="B952" t="s">
        <v>68</v>
      </c>
      <c r="C952" t="s">
        <v>69</v>
      </c>
      <c r="D952" s="8">
        <v>2021</v>
      </c>
      <c r="E952" s="29">
        <v>5</v>
      </c>
      <c r="F952">
        <v>8</v>
      </c>
      <c r="G952">
        <v>512</v>
      </c>
      <c r="H952">
        <v>75</v>
      </c>
      <c r="I952">
        <v>12</v>
      </c>
      <c r="J952">
        <v>6.2</v>
      </c>
      <c r="K952" t="s">
        <v>70</v>
      </c>
      <c r="L952" t="s">
        <v>22</v>
      </c>
      <c r="M952" t="s">
        <v>60</v>
      </c>
      <c r="N952" t="s">
        <v>24</v>
      </c>
      <c r="O952" t="s">
        <v>25</v>
      </c>
      <c r="P952" t="s">
        <v>26</v>
      </c>
      <c r="Q952">
        <v>399</v>
      </c>
      <c r="R952">
        <v>368</v>
      </c>
    </row>
    <row r="953" spans="1:18">
      <c r="A953" t="s">
        <v>1028</v>
      </c>
      <c r="B953" t="s">
        <v>28</v>
      </c>
      <c r="C953" t="s">
        <v>29</v>
      </c>
      <c r="D953" s="8">
        <v>2023</v>
      </c>
      <c r="E953" s="29">
        <v>3</v>
      </c>
      <c r="F953">
        <v>12</v>
      </c>
      <c r="G953">
        <v>64</v>
      </c>
      <c r="H953">
        <v>94</v>
      </c>
      <c r="I953">
        <v>64</v>
      </c>
      <c r="J953">
        <v>6.1</v>
      </c>
      <c r="K953" t="s">
        <v>30</v>
      </c>
      <c r="L953" t="s">
        <v>59</v>
      </c>
      <c r="M953" t="s">
        <v>86</v>
      </c>
      <c r="N953" t="s">
        <v>24</v>
      </c>
      <c r="O953" t="s">
        <v>87</v>
      </c>
      <c r="P953" t="s">
        <v>35</v>
      </c>
      <c r="Q953">
        <v>599</v>
      </c>
      <c r="R953">
        <v>496</v>
      </c>
    </row>
    <row r="954" spans="1:18">
      <c r="A954" t="s">
        <v>1029</v>
      </c>
      <c r="B954" t="s">
        <v>64</v>
      </c>
      <c r="C954" t="s">
        <v>65</v>
      </c>
      <c r="D954" s="8">
        <v>2023</v>
      </c>
      <c r="E954" s="29">
        <v>3</v>
      </c>
      <c r="F954">
        <v>4</v>
      </c>
      <c r="G954">
        <v>128</v>
      </c>
      <c r="H954">
        <v>91</v>
      </c>
      <c r="I954">
        <v>108</v>
      </c>
      <c r="J954">
        <v>6.1</v>
      </c>
      <c r="K954" t="s">
        <v>66</v>
      </c>
      <c r="L954" t="s">
        <v>57</v>
      </c>
      <c r="M954" t="s">
        <v>60</v>
      </c>
      <c r="N954" t="s">
        <v>24</v>
      </c>
      <c r="O954" t="s">
        <v>87</v>
      </c>
      <c r="P954" t="s">
        <v>26</v>
      </c>
      <c r="Q954">
        <v>499</v>
      </c>
      <c r="R954">
        <v>254</v>
      </c>
    </row>
    <row r="955" spans="1:18">
      <c r="A955" t="s">
        <v>1030</v>
      </c>
      <c r="B955" t="s">
        <v>37</v>
      </c>
      <c r="C955" t="s">
        <v>38</v>
      </c>
      <c r="D955" s="8">
        <v>2024</v>
      </c>
      <c r="E955" s="29">
        <v>2</v>
      </c>
      <c r="F955">
        <v>12</v>
      </c>
      <c r="G955">
        <v>256</v>
      </c>
      <c r="H955">
        <v>76</v>
      </c>
      <c r="I955">
        <v>12</v>
      </c>
      <c r="J955">
        <v>6.4</v>
      </c>
      <c r="K955" t="s">
        <v>39</v>
      </c>
      <c r="L955" t="s">
        <v>31</v>
      </c>
      <c r="M955" t="s">
        <v>47</v>
      </c>
      <c r="N955" t="s">
        <v>24</v>
      </c>
      <c r="O955" t="s">
        <v>25</v>
      </c>
      <c r="P955" t="s">
        <v>35</v>
      </c>
      <c r="Q955">
        <v>599</v>
      </c>
      <c r="R955">
        <v>589</v>
      </c>
    </row>
    <row r="956" spans="1:18">
      <c r="A956" t="s">
        <v>1031</v>
      </c>
      <c r="B956" t="s">
        <v>77</v>
      </c>
      <c r="C956" t="s">
        <v>78</v>
      </c>
      <c r="D956" s="8">
        <v>2020</v>
      </c>
      <c r="E956" s="29">
        <v>6</v>
      </c>
      <c r="F956">
        <v>8</v>
      </c>
      <c r="G956">
        <v>512</v>
      </c>
      <c r="H956">
        <v>94</v>
      </c>
      <c r="I956">
        <v>48</v>
      </c>
      <c r="J956">
        <v>6.78</v>
      </c>
      <c r="K956" t="s">
        <v>79</v>
      </c>
      <c r="L956" t="s">
        <v>22</v>
      </c>
      <c r="M956" t="s">
        <v>47</v>
      </c>
      <c r="N956" t="s">
        <v>33</v>
      </c>
      <c r="O956" t="s">
        <v>52</v>
      </c>
      <c r="P956" t="s">
        <v>35</v>
      </c>
      <c r="Q956">
        <v>699</v>
      </c>
      <c r="R956">
        <v>558</v>
      </c>
    </row>
    <row r="957" spans="1:18">
      <c r="A957" t="s">
        <v>1032</v>
      </c>
      <c r="B957" t="s">
        <v>77</v>
      </c>
      <c r="C957" t="s">
        <v>78</v>
      </c>
      <c r="D957" s="8">
        <v>2024</v>
      </c>
      <c r="E957" s="29">
        <v>2</v>
      </c>
      <c r="F957">
        <v>8</v>
      </c>
      <c r="G957">
        <v>64</v>
      </c>
      <c r="H957">
        <v>100</v>
      </c>
      <c r="I957">
        <v>108</v>
      </c>
      <c r="J957">
        <v>6.1</v>
      </c>
      <c r="K957" t="s">
        <v>79</v>
      </c>
      <c r="L957" t="s">
        <v>59</v>
      </c>
      <c r="M957" t="s">
        <v>23</v>
      </c>
      <c r="N957" t="s">
        <v>33</v>
      </c>
      <c r="O957" t="s">
        <v>25</v>
      </c>
      <c r="P957" t="s">
        <v>35</v>
      </c>
      <c r="Q957">
        <v>699</v>
      </c>
      <c r="R957">
        <v>564</v>
      </c>
    </row>
    <row r="958" spans="1:18">
      <c r="A958" t="s">
        <v>1033</v>
      </c>
      <c r="B958" t="s">
        <v>37</v>
      </c>
      <c r="C958" t="s">
        <v>38</v>
      </c>
      <c r="D958" s="8">
        <v>2021</v>
      </c>
      <c r="E958" s="29">
        <v>5</v>
      </c>
      <c r="F958">
        <v>6</v>
      </c>
      <c r="G958">
        <v>256</v>
      </c>
      <c r="H958">
        <v>88</v>
      </c>
      <c r="I958">
        <v>64</v>
      </c>
      <c r="J958">
        <v>6.1</v>
      </c>
      <c r="K958" t="s">
        <v>39</v>
      </c>
      <c r="L958" t="s">
        <v>59</v>
      </c>
      <c r="M958" t="s">
        <v>32</v>
      </c>
      <c r="N958" t="s">
        <v>33</v>
      </c>
      <c r="O958" t="s">
        <v>52</v>
      </c>
      <c r="P958" t="s">
        <v>35</v>
      </c>
      <c r="Q958">
        <v>599</v>
      </c>
      <c r="R958">
        <v>546</v>
      </c>
    </row>
    <row r="959" spans="1:18">
      <c r="A959" t="s">
        <v>1034</v>
      </c>
      <c r="B959" t="s">
        <v>54</v>
      </c>
      <c r="C959" t="s">
        <v>55</v>
      </c>
      <c r="D959" s="8">
        <v>2022</v>
      </c>
      <c r="E959" s="29">
        <v>4</v>
      </c>
      <c r="F959">
        <v>12</v>
      </c>
      <c r="G959">
        <v>256</v>
      </c>
      <c r="H959">
        <v>86</v>
      </c>
      <c r="I959">
        <v>12</v>
      </c>
      <c r="J959">
        <v>6.7</v>
      </c>
      <c r="K959" t="s">
        <v>56</v>
      </c>
      <c r="L959" t="s">
        <v>22</v>
      </c>
      <c r="M959" t="s">
        <v>60</v>
      </c>
      <c r="N959" t="s">
        <v>24</v>
      </c>
      <c r="O959" t="s">
        <v>61</v>
      </c>
      <c r="P959" t="s">
        <v>26</v>
      </c>
      <c r="Q959">
        <v>549</v>
      </c>
      <c r="R959">
        <v>441</v>
      </c>
    </row>
    <row r="960" spans="1:18">
      <c r="A960" t="s">
        <v>1035</v>
      </c>
      <c r="B960" t="s">
        <v>19</v>
      </c>
      <c r="C960" t="s">
        <v>20</v>
      </c>
      <c r="D960" s="8">
        <v>2021</v>
      </c>
      <c r="E960" s="29">
        <v>5</v>
      </c>
      <c r="F960">
        <v>6</v>
      </c>
      <c r="G960">
        <v>128</v>
      </c>
      <c r="H960">
        <v>97</v>
      </c>
      <c r="I960">
        <v>50</v>
      </c>
      <c r="J960">
        <v>6.7</v>
      </c>
      <c r="K960" t="s">
        <v>21</v>
      </c>
      <c r="L960" t="s">
        <v>22</v>
      </c>
      <c r="M960" t="s">
        <v>23</v>
      </c>
      <c r="N960" t="s">
        <v>24</v>
      </c>
      <c r="O960" t="s">
        <v>87</v>
      </c>
      <c r="P960" t="s">
        <v>35</v>
      </c>
      <c r="Q960">
        <v>599</v>
      </c>
      <c r="R960">
        <v>405</v>
      </c>
    </row>
    <row r="961" spans="1:18">
      <c r="A961" t="s">
        <v>1036</v>
      </c>
      <c r="B961" t="s">
        <v>28</v>
      </c>
      <c r="C961" t="s">
        <v>29</v>
      </c>
      <c r="D961" s="8">
        <v>2024</v>
      </c>
      <c r="E961" s="29">
        <v>2</v>
      </c>
      <c r="F961">
        <v>4</v>
      </c>
      <c r="G961">
        <v>512</v>
      </c>
      <c r="H961">
        <v>80</v>
      </c>
      <c r="I961">
        <v>50</v>
      </c>
      <c r="J961">
        <v>6.7</v>
      </c>
      <c r="K961" t="s">
        <v>30</v>
      </c>
      <c r="L961" t="s">
        <v>22</v>
      </c>
      <c r="M961" t="s">
        <v>32</v>
      </c>
      <c r="N961" t="s">
        <v>33</v>
      </c>
      <c r="O961" t="s">
        <v>41</v>
      </c>
      <c r="P961" t="s">
        <v>35</v>
      </c>
      <c r="Q961">
        <v>599</v>
      </c>
      <c r="R961">
        <v>489</v>
      </c>
    </row>
    <row r="962" spans="1:18">
      <c r="A962" t="s">
        <v>1037</v>
      </c>
      <c r="B962" t="s">
        <v>77</v>
      </c>
      <c r="C962" t="s">
        <v>78</v>
      </c>
      <c r="D962" s="8">
        <v>2020</v>
      </c>
      <c r="E962" s="29">
        <v>6</v>
      </c>
      <c r="F962">
        <v>6</v>
      </c>
      <c r="G962">
        <v>256</v>
      </c>
      <c r="H962">
        <v>80</v>
      </c>
      <c r="I962">
        <v>12</v>
      </c>
      <c r="J962">
        <v>6.7</v>
      </c>
      <c r="K962" t="s">
        <v>79</v>
      </c>
      <c r="L962" t="s">
        <v>59</v>
      </c>
      <c r="M962" t="s">
        <v>47</v>
      </c>
      <c r="N962" t="s">
        <v>24</v>
      </c>
      <c r="O962" t="s">
        <v>52</v>
      </c>
      <c r="P962" t="s">
        <v>26</v>
      </c>
      <c r="Q962">
        <v>699</v>
      </c>
      <c r="R962">
        <v>573</v>
      </c>
    </row>
    <row r="963" spans="1:18">
      <c r="A963" t="s">
        <v>1038</v>
      </c>
      <c r="B963" t="s">
        <v>44</v>
      </c>
      <c r="C963" t="s">
        <v>45</v>
      </c>
      <c r="D963" s="8">
        <v>2022</v>
      </c>
      <c r="E963" s="29">
        <v>4</v>
      </c>
      <c r="F963">
        <v>6</v>
      </c>
      <c r="G963">
        <v>128</v>
      </c>
      <c r="H963">
        <v>95</v>
      </c>
      <c r="I963">
        <v>12</v>
      </c>
      <c r="J963">
        <v>6.7</v>
      </c>
      <c r="K963" t="s">
        <v>46</v>
      </c>
      <c r="L963" t="s">
        <v>31</v>
      </c>
      <c r="M963" t="s">
        <v>60</v>
      </c>
      <c r="N963" t="s">
        <v>33</v>
      </c>
      <c r="O963" t="s">
        <v>25</v>
      </c>
      <c r="P963" t="s">
        <v>26</v>
      </c>
      <c r="Q963">
        <v>799</v>
      </c>
      <c r="R963">
        <v>717</v>
      </c>
    </row>
    <row r="964" spans="1:18">
      <c r="A964" t="s">
        <v>1039</v>
      </c>
      <c r="B964" t="s">
        <v>64</v>
      </c>
      <c r="C964" t="s">
        <v>65</v>
      </c>
      <c r="D964" s="8">
        <v>2022</v>
      </c>
      <c r="E964" s="29">
        <v>4</v>
      </c>
      <c r="F964">
        <v>8</v>
      </c>
      <c r="G964">
        <v>512</v>
      </c>
      <c r="H964">
        <v>98</v>
      </c>
      <c r="I964">
        <v>12</v>
      </c>
      <c r="J964">
        <v>6.78</v>
      </c>
      <c r="K964" t="s">
        <v>66</v>
      </c>
      <c r="L964" t="s">
        <v>22</v>
      </c>
      <c r="M964" t="s">
        <v>47</v>
      </c>
      <c r="N964" t="s">
        <v>24</v>
      </c>
      <c r="O964" t="s">
        <v>84</v>
      </c>
      <c r="P964" t="s">
        <v>26</v>
      </c>
      <c r="Q964">
        <v>499</v>
      </c>
      <c r="R964">
        <v>437</v>
      </c>
    </row>
    <row r="965" spans="1:18">
      <c r="A965" t="s">
        <v>1040</v>
      </c>
      <c r="B965" t="s">
        <v>77</v>
      </c>
      <c r="C965" t="s">
        <v>78</v>
      </c>
      <c r="D965" s="8">
        <v>2020</v>
      </c>
      <c r="E965" s="29">
        <v>6</v>
      </c>
      <c r="F965">
        <v>12</v>
      </c>
      <c r="G965">
        <v>512</v>
      </c>
      <c r="H965">
        <v>87</v>
      </c>
      <c r="I965">
        <v>48</v>
      </c>
      <c r="J965">
        <v>6.7</v>
      </c>
      <c r="K965" t="s">
        <v>79</v>
      </c>
      <c r="L965" t="s">
        <v>22</v>
      </c>
      <c r="M965" t="s">
        <v>23</v>
      </c>
      <c r="N965" t="s">
        <v>33</v>
      </c>
      <c r="O965" t="s">
        <v>48</v>
      </c>
      <c r="P965" t="s">
        <v>35</v>
      </c>
      <c r="Q965">
        <v>699</v>
      </c>
      <c r="R965">
        <v>575</v>
      </c>
    </row>
    <row r="966" spans="1:18">
      <c r="A966" t="s">
        <v>1041</v>
      </c>
      <c r="B966" t="s">
        <v>77</v>
      </c>
      <c r="C966" t="s">
        <v>78</v>
      </c>
      <c r="D966" s="8">
        <v>2021</v>
      </c>
      <c r="E966" s="29">
        <v>5</v>
      </c>
      <c r="F966">
        <v>4</v>
      </c>
      <c r="G966">
        <v>128</v>
      </c>
      <c r="H966">
        <v>81</v>
      </c>
      <c r="I966">
        <v>64</v>
      </c>
      <c r="J966">
        <v>6.67</v>
      </c>
      <c r="K966" t="s">
        <v>79</v>
      </c>
      <c r="L966" t="s">
        <v>22</v>
      </c>
      <c r="M966" t="s">
        <v>40</v>
      </c>
      <c r="N966" t="s">
        <v>24</v>
      </c>
      <c r="O966" t="s">
        <v>48</v>
      </c>
      <c r="P966" t="s">
        <v>26</v>
      </c>
      <c r="Q966">
        <v>699</v>
      </c>
      <c r="R966">
        <v>445</v>
      </c>
    </row>
    <row r="967" spans="1:18">
      <c r="A967" t="s">
        <v>1042</v>
      </c>
      <c r="B967" t="s">
        <v>64</v>
      </c>
      <c r="C967" t="s">
        <v>65</v>
      </c>
      <c r="D967" s="8">
        <v>2024</v>
      </c>
      <c r="E967" s="29">
        <v>2</v>
      </c>
      <c r="F967">
        <v>6</v>
      </c>
      <c r="G967">
        <v>128</v>
      </c>
      <c r="H967">
        <v>93</v>
      </c>
      <c r="I967">
        <v>108</v>
      </c>
      <c r="J967">
        <v>6.2</v>
      </c>
      <c r="K967" t="s">
        <v>66</v>
      </c>
      <c r="L967" t="s">
        <v>59</v>
      </c>
      <c r="M967" t="s">
        <v>86</v>
      </c>
      <c r="N967" t="s">
        <v>33</v>
      </c>
      <c r="O967" t="s">
        <v>48</v>
      </c>
      <c r="P967" t="s">
        <v>26</v>
      </c>
      <c r="Q967">
        <v>499</v>
      </c>
      <c r="R967">
        <v>420</v>
      </c>
    </row>
    <row r="968" spans="1:18">
      <c r="A968" t="s">
        <v>1043</v>
      </c>
      <c r="B968" t="s">
        <v>44</v>
      </c>
      <c r="C968" t="s">
        <v>45</v>
      </c>
      <c r="D968" s="8">
        <v>2024</v>
      </c>
      <c r="E968" s="29">
        <v>2</v>
      </c>
      <c r="F968">
        <v>6</v>
      </c>
      <c r="G968">
        <v>512</v>
      </c>
      <c r="H968">
        <v>87</v>
      </c>
      <c r="I968">
        <v>108</v>
      </c>
      <c r="J968">
        <v>6.7</v>
      </c>
      <c r="K968" t="s">
        <v>46</v>
      </c>
      <c r="L968" t="s">
        <v>22</v>
      </c>
      <c r="M968" t="s">
        <v>86</v>
      </c>
      <c r="N968" t="s">
        <v>24</v>
      </c>
      <c r="O968" t="s">
        <v>48</v>
      </c>
      <c r="P968" t="s">
        <v>26</v>
      </c>
      <c r="Q968">
        <v>799</v>
      </c>
      <c r="R968">
        <v>633</v>
      </c>
    </row>
    <row r="969" spans="1:18">
      <c r="A969" t="s">
        <v>1044</v>
      </c>
      <c r="B969" t="s">
        <v>77</v>
      </c>
      <c r="C969" t="s">
        <v>78</v>
      </c>
      <c r="D969" s="8">
        <v>2021</v>
      </c>
      <c r="E969" s="29">
        <v>5</v>
      </c>
      <c r="F969">
        <v>6</v>
      </c>
      <c r="G969">
        <v>64</v>
      </c>
      <c r="H969">
        <v>97</v>
      </c>
      <c r="I969">
        <v>48</v>
      </c>
      <c r="J969">
        <v>6.7</v>
      </c>
      <c r="K969" t="s">
        <v>79</v>
      </c>
      <c r="L969" t="s">
        <v>59</v>
      </c>
      <c r="M969" t="s">
        <v>32</v>
      </c>
      <c r="N969" t="s">
        <v>33</v>
      </c>
      <c r="O969" t="s">
        <v>84</v>
      </c>
      <c r="P969" t="s">
        <v>35</v>
      </c>
      <c r="Q969">
        <v>699</v>
      </c>
      <c r="R969">
        <v>556</v>
      </c>
    </row>
    <row r="970" spans="1:18">
      <c r="A970" t="s">
        <v>1045</v>
      </c>
      <c r="B970" t="s">
        <v>28</v>
      </c>
      <c r="C970" t="s">
        <v>29</v>
      </c>
      <c r="D970" s="8">
        <v>2023</v>
      </c>
      <c r="E970" s="29">
        <v>3</v>
      </c>
      <c r="F970">
        <v>4</v>
      </c>
      <c r="G970">
        <v>64</v>
      </c>
      <c r="H970">
        <v>97</v>
      </c>
      <c r="I970">
        <v>64</v>
      </c>
      <c r="J970">
        <v>6.4</v>
      </c>
      <c r="K970" t="s">
        <v>30</v>
      </c>
      <c r="L970" t="s">
        <v>59</v>
      </c>
      <c r="M970" t="s">
        <v>86</v>
      </c>
      <c r="N970" t="s">
        <v>24</v>
      </c>
      <c r="O970" t="s">
        <v>48</v>
      </c>
      <c r="P970" t="s">
        <v>35</v>
      </c>
      <c r="Q970">
        <v>599</v>
      </c>
      <c r="R970">
        <v>522</v>
      </c>
    </row>
    <row r="971" spans="1:18">
      <c r="A971" t="s">
        <v>1046</v>
      </c>
      <c r="B971" t="s">
        <v>44</v>
      </c>
      <c r="C971" t="s">
        <v>45</v>
      </c>
      <c r="D971" s="8">
        <v>2020</v>
      </c>
      <c r="E971" s="29">
        <v>6</v>
      </c>
      <c r="F971">
        <v>12</v>
      </c>
      <c r="G971">
        <v>128</v>
      </c>
      <c r="H971">
        <v>96</v>
      </c>
      <c r="I971">
        <v>48</v>
      </c>
      <c r="J971">
        <v>6.1</v>
      </c>
      <c r="K971" t="s">
        <v>46</v>
      </c>
      <c r="L971" t="s">
        <v>59</v>
      </c>
      <c r="M971" t="s">
        <v>40</v>
      </c>
      <c r="N971" t="s">
        <v>33</v>
      </c>
      <c r="O971" t="s">
        <v>41</v>
      </c>
      <c r="P971" t="s">
        <v>35</v>
      </c>
      <c r="Q971">
        <v>799</v>
      </c>
      <c r="R971">
        <v>703</v>
      </c>
    </row>
    <row r="972" spans="1:18">
      <c r="A972" t="s">
        <v>1047</v>
      </c>
      <c r="B972" t="s">
        <v>64</v>
      </c>
      <c r="C972" t="s">
        <v>65</v>
      </c>
      <c r="D972" s="8">
        <v>2024</v>
      </c>
      <c r="E972" s="29">
        <v>2</v>
      </c>
      <c r="F972">
        <v>4</v>
      </c>
      <c r="G972">
        <v>256</v>
      </c>
      <c r="H972">
        <v>100</v>
      </c>
      <c r="I972">
        <v>64</v>
      </c>
      <c r="J972">
        <v>6.78</v>
      </c>
      <c r="K972" t="s">
        <v>66</v>
      </c>
      <c r="L972" t="s">
        <v>22</v>
      </c>
      <c r="M972" t="s">
        <v>47</v>
      </c>
      <c r="N972" t="s">
        <v>24</v>
      </c>
      <c r="O972" t="s">
        <v>41</v>
      </c>
      <c r="P972" t="s">
        <v>26</v>
      </c>
      <c r="Q972">
        <v>499</v>
      </c>
      <c r="R972">
        <v>395</v>
      </c>
    </row>
    <row r="973" spans="1:18">
      <c r="A973" t="s">
        <v>1048</v>
      </c>
      <c r="B973" t="s">
        <v>73</v>
      </c>
      <c r="C973" t="s">
        <v>122</v>
      </c>
      <c r="D973" s="8">
        <v>2021</v>
      </c>
      <c r="E973" s="29">
        <v>5</v>
      </c>
      <c r="F973">
        <v>4</v>
      </c>
      <c r="G973">
        <v>64</v>
      </c>
      <c r="H973">
        <v>76</v>
      </c>
      <c r="I973">
        <v>12</v>
      </c>
      <c r="J973">
        <v>6.7</v>
      </c>
      <c r="K973" t="s">
        <v>123</v>
      </c>
      <c r="L973" t="s">
        <v>22</v>
      </c>
      <c r="M973" t="s">
        <v>47</v>
      </c>
      <c r="N973" t="s">
        <v>24</v>
      </c>
      <c r="O973" t="s">
        <v>52</v>
      </c>
      <c r="P973" t="s">
        <v>35</v>
      </c>
      <c r="Q973">
        <v>699</v>
      </c>
      <c r="R973">
        <v>445</v>
      </c>
    </row>
    <row r="974" spans="1:18">
      <c r="A974" t="s">
        <v>1049</v>
      </c>
      <c r="B974" t="s">
        <v>44</v>
      </c>
      <c r="C974" t="s">
        <v>45</v>
      </c>
      <c r="D974" s="8">
        <v>2022</v>
      </c>
      <c r="E974" s="29">
        <v>4</v>
      </c>
      <c r="F974">
        <v>4</v>
      </c>
      <c r="G974">
        <v>128</v>
      </c>
      <c r="H974">
        <v>77</v>
      </c>
      <c r="I974">
        <v>64</v>
      </c>
      <c r="J974">
        <v>6.67</v>
      </c>
      <c r="K974" t="s">
        <v>46</v>
      </c>
      <c r="L974" t="s">
        <v>57</v>
      </c>
      <c r="M974" t="s">
        <v>40</v>
      </c>
      <c r="N974" t="s">
        <v>24</v>
      </c>
      <c r="O974" t="s">
        <v>87</v>
      </c>
      <c r="P974" t="s">
        <v>26</v>
      </c>
      <c r="Q974">
        <v>799</v>
      </c>
      <c r="R974">
        <v>417</v>
      </c>
    </row>
    <row r="975" spans="1:18">
      <c r="A975" t="s">
        <v>1050</v>
      </c>
      <c r="B975" t="s">
        <v>37</v>
      </c>
      <c r="C975" t="s">
        <v>38</v>
      </c>
      <c r="D975" s="8">
        <v>2024</v>
      </c>
      <c r="E975" s="29">
        <v>2</v>
      </c>
      <c r="F975">
        <v>8</v>
      </c>
      <c r="G975">
        <v>512</v>
      </c>
      <c r="H975">
        <v>78</v>
      </c>
      <c r="I975">
        <v>50</v>
      </c>
      <c r="J975">
        <v>6.1</v>
      </c>
      <c r="K975" t="s">
        <v>39</v>
      </c>
      <c r="L975" t="s">
        <v>22</v>
      </c>
      <c r="M975" t="s">
        <v>23</v>
      </c>
      <c r="N975" t="s">
        <v>33</v>
      </c>
      <c r="O975" t="s">
        <v>41</v>
      </c>
      <c r="P975" t="s">
        <v>26</v>
      </c>
      <c r="Q975">
        <v>599</v>
      </c>
      <c r="R975">
        <v>481</v>
      </c>
    </row>
    <row r="976" spans="1:18">
      <c r="A976" t="s">
        <v>1051</v>
      </c>
      <c r="B976" t="s">
        <v>64</v>
      </c>
      <c r="C976" t="s">
        <v>65</v>
      </c>
      <c r="D976" s="8">
        <v>2020</v>
      </c>
      <c r="E976" s="29">
        <v>6</v>
      </c>
      <c r="F976">
        <v>12</v>
      </c>
      <c r="G976">
        <v>512</v>
      </c>
      <c r="H976">
        <v>88</v>
      </c>
      <c r="I976">
        <v>108</v>
      </c>
      <c r="J976">
        <v>6.2</v>
      </c>
      <c r="K976" t="s">
        <v>66</v>
      </c>
      <c r="L976" t="s">
        <v>59</v>
      </c>
      <c r="M976" t="s">
        <v>40</v>
      </c>
      <c r="N976" t="s">
        <v>24</v>
      </c>
      <c r="O976" t="s">
        <v>61</v>
      </c>
      <c r="P976" t="s">
        <v>26</v>
      </c>
      <c r="Q976">
        <v>499</v>
      </c>
      <c r="R976">
        <v>489</v>
      </c>
    </row>
    <row r="977" spans="1:18">
      <c r="A977" t="s">
        <v>1052</v>
      </c>
      <c r="B977" t="s">
        <v>44</v>
      </c>
      <c r="C977" t="s">
        <v>45</v>
      </c>
      <c r="D977" s="8">
        <v>2022</v>
      </c>
      <c r="E977" s="29">
        <v>4</v>
      </c>
      <c r="F977">
        <v>6</v>
      </c>
      <c r="G977">
        <v>64</v>
      </c>
      <c r="H977">
        <v>82</v>
      </c>
      <c r="I977">
        <v>108</v>
      </c>
      <c r="J977">
        <v>6.4</v>
      </c>
      <c r="K977" t="s">
        <v>46</v>
      </c>
      <c r="L977" t="s">
        <v>22</v>
      </c>
      <c r="M977" t="s">
        <v>32</v>
      </c>
      <c r="N977" t="s">
        <v>24</v>
      </c>
      <c r="O977" t="s">
        <v>61</v>
      </c>
      <c r="P977" t="s">
        <v>35</v>
      </c>
      <c r="Q977">
        <v>799</v>
      </c>
      <c r="R977">
        <v>540</v>
      </c>
    </row>
    <row r="978" spans="1:18">
      <c r="A978" t="s">
        <v>1053</v>
      </c>
      <c r="B978" t="s">
        <v>64</v>
      </c>
      <c r="C978" t="s">
        <v>65</v>
      </c>
      <c r="D978" s="8">
        <v>2020</v>
      </c>
      <c r="E978" s="29">
        <v>6</v>
      </c>
      <c r="F978">
        <v>4</v>
      </c>
      <c r="G978">
        <v>64</v>
      </c>
      <c r="H978">
        <v>78</v>
      </c>
      <c r="I978">
        <v>12</v>
      </c>
      <c r="J978">
        <v>6.4</v>
      </c>
      <c r="K978" t="s">
        <v>66</v>
      </c>
      <c r="L978" t="s">
        <v>59</v>
      </c>
      <c r="M978" t="s">
        <v>40</v>
      </c>
      <c r="N978" t="s">
        <v>24</v>
      </c>
      <c r="O978" t="s">
        <v>84</v>
      </c>
      <c r="P978" t="s">
        <v>26</v>
      </c>
      <c r="Q978">
        <v>499</v>
      </c>
      <c r="R978">
        <v>409</v>
      </c>
    </row>
    <row r="979" spans="1:18">
      <c r="A979" t="s">
        <v>1054</v>
      </c>
      <c r="B979" t="s">
        <v>64</v>
      </c>
      <c r="C979" t="s">
        <v>65</v>
      </c>
      <c r="D979" s="8">
        <v>2020</v>
      </c>
      <c r="E979" s="29">
        <v>6</v>
      </c>
      <c r="F979">
        <v>8</v>
      </c>
      <c r="G979">
        <v>64</v>
      </c>
      <c r="H979">
        <v>77</v>
      </c>
      <c r="I979">
        <v>12</v>
      </c>
      <c r="J979">
        <v>6.78</v>
      </c>
      <c r="K979" t="s">
        <v>66</v>
      </c>
      <c r="L979" t="s">
        <v>59</v>
      </c>
      <c r="M979" t="s">
        <v>32</v>
      </c>
      <c r="N979" t="s">
        <v>24</v>
      </c>
      <c r="O979" t="s">
        <v>41</v>
      </c>
      <c r="P979" t="s">
        <v>35</v>
      </c>
      <c r="Q979">
        <v>499</v>
      </c>
      <c r="R979">
        <v>424</v>
      </c>
    </row>
    <row r="980" spans="1:18">
      <c r="A980" t="s">
        <v>1055</v>
      </c>
      <c r="B980" t="s">
        <v>64</v>
      </c>
      <c r="C980" t="s">
        <v>65</v>
      </c>
      <c r="D980" s="8">
        <v>2024</v>
      </c>
      <c r="E980" s="29">
        <v>2</v>
      </c>
      <c r="F980">
        <v>4</v>
      </c>
      <c r="G980">
        <v>256</v>
      </c>
      <c r="H980">
        <v>84</v>
      </c>
      <c r="I980">
        <v>64</v>
      </c>
      <c r="J980">
        <v>6.4</v>
      </c>
      <c r="K980" t="s">
        <v>66</v>
      </c>
      <c r="L980" t="s">
        <v>31</v>
      </c>
      <c r="M980" t="s">
        <v>47</v>
      </c>
      <c r="N980" t="s">
        <v>24</v>
      </c>
      <c r="O980" t="s">
        <v>52</v>
      </c>
      <c r="P980" t="s">
        <v>26</v>
      </c>
      <c r="Q980">
        <v>499</v>
      </c>
      <c r="R980">
        <v>489</v>
      </c>
    </row>
    <row r="981" spans="1:18">
      <c r="A981" t="s">
        <v>1056</v>
      </c>
      <c r="B981" t="s">
        <v>19</v>
      </c>
      <c r="C981" t="s">
        <v>20</v>
      </c>
      <c r="D981" s="8">
        <v>2020</v>
      </c>
      <c r="E981" s="29">
        <v>6</v>
      </c>
      <c r="F981">
        <v>8</v>
      </c>
      <c r="G981">
        <v>64</v>
      </c>
      <c r="H981">
        <v>98</v>
      </c>
      <c r="I981">
        <v>50</v>
      </c>
      <c r="J981">
        <v>6.4</v>
      </c>
      <c r="K981" t="s">
        <v>21</v>
      </c>
      <c r="L981" t="s">
        <v>31</v>
      </c>
      <c r="M981" t="s">
        <v>23</v>
      </c>
      <c r="N981" t="s">
        <v>33</v>
      </c>
      <c r="O981" t="s">
        <v>84</v>
      </c>
      <c r="P981" t="s">
        <v>26</v>
      </c>
      <c r="Q981">
        <v>599</v>
      </c>
      <c r="R981">
        <v>576</v>
      </c>
    </row>
    <row r="982" spans="1:18">
      <c r="A982" t="s">
        <v>1057</v>
      </c>
      <c r="B982" t="s">
        <v>64</v>
      </c>
      <c r="C982" t="s">
        <v>65</v>
      </c>
      <c r="D982" s="8">
        <v>2022</v>
      </c>
      <c r="E982" s="29">
        <v>4</v>
      </c>
      <c r="F982">
        <v>12</v>
      </c>
      <c r="G982">
        <v>128</v>
      </c>
      <c r="H982">
        <v>98</v>
      </c>
      <c r="I982">
        <v>108</v>
      </c>
      <c r="J982">
        <v>6.5</v>
      </c>
      <c r="K982" t="s">
        <v>66</v>
      </c>
      <c r="L982" t="s">
        <v>57</v>
      </c>
      <c r="M982" t="s">
        <v>47</v>
      </c>
      <c r="N982" t="s">
        <v>24</v>
      </c>
      <c r="O982" t="s">
        <v>48</v>
      </c>
      <c r="P982" t="s">
        <v>35</v>
      </c>
      <c r="Q982">
        <v>499</v>
      </c>
      <c r="R982">
        <v>325</v>
      </c>
    </row>
    <row r="983" spans="1:18">
      <c r="A983" t="s">
        <v>1058</v>
      </c>
      <c r="B983" t="s">
        <v>37</v>
      </c>
      <c r="C983" t="s">
        <v>38</v>
      </c>
      <c r="D983" s="8">
        <v>2020</v>
      </c>
      <c r="E983" s="29">
        <v>6</v>
      </c>
      <c r="F983">
        <v>6</v>
      </c>
      <c r="G983">
        <v>512</v>
      </c>
      <c r="H983">
        <v>96</v>
      </c>
      <c r="I983">
        <v>108</v>
      </c>
      <c r="J983">
        <v>6.4</v>
      </c>
      <c r="K983" t="s">
        <v>39</v>
      </c>
      <c r="L983" t="s">
        <v>57</v>
      </c>
      <c r="M983" t="s">
        <v>86</v>
      </c>
      <c r="N983" t="s">
        <v>33</v>
      </c>
      <c r="O983" t="s">
        <v>41</v>
      </c>
      <c r="P983" t="s">
        <v>26</v>
      </c>
      <c r="Q983">
        <v>599</v>
      </c>
      <c r="R983">
        <v>419</v>
      </c>
    </row>
    <row r="984" spans="1:18">
      <c r="A984" t="s">
        <v>1059</v>
      </c>
      <c r="B984" t="s">
        <v>77</v>
      </c>
      <c r="C984" t="s">
        <v>78</v>
      </c>
      <c r="D984" s="8">
        <v>2023</v>
      </c>
      <c r="E984" s="29">
        <v>3</v>
      </c>
      <c r="F984">
        <v>8</v>
      </c>
      <c r="G984">
        <v>128</v>
      </c>
      <c r="H984">
        <v>86</v>
      </c>
      <c r="I984">
        <v>50</v>
      </c>
      <c r="J984">
        <v>6.2</v>
      </c>
      <c r="K984" t="s">
        <v>79</v>
      </c>
      <c r="L984" t="s">
        <v>59</v>
      </c>
      <c r="M984" t="s">
        <v>32</v>
      </c>
      <c r="N984" t="s">
        <v>24</v>
      </c>
      <c r="O984" t="s">
        <v>87</v>
      </c>
      <c r="P984" t="s">
        <v>35</v>
      </c>
      <c r="Q984">
        <v>699</v>
      </c>
      <c r="R984">
        <v>558</v>
      </c>
    </row>
    <row r="985" spans="1:18">
      <c r="A985" t="s">
        <v>1060</v>
      </c>
      <c r="B985" t="s">
        <v>37</v>
      </c>
      <c r="C985" t="s">
        <v>38</v>
      </c>
      <c r="D985" s="8">
        <v>2021</v>
      </c>
      <c r="E985" s="29">
        <v>5</v>
      </c>
      <c r="F985">
        <v>12</v>
      </c>
      <c r="G985">
        <v>64</v>
      </c>
      <c r="H985">
        <v>79</v>
      </c>
      <c r="I985">
        <v>50</v>
      </c>
      <c r="J985">
        <v>6.4</v>
      </c>
      <c r="K985" t="s">
        <v>39</v>
      </c>
      <c r="L985" t="s">
        <v>22</v>
      </c>
      <c r="M985" t="s">
        <v>86</v>
      </c>
      <c r="N985" t="s">
        <v>24</v>
      </c>
      <c r="O985" t="s">
        <v>61</v>
      </c>
      <c r="P985" t="s">
        <v>26</v>
      </c>
      <c r="Q985">
        <v>599</v>
      </c>
      <c r="R985">
        <v>395</v>
      </c>
    </row>
    <row r="986" spans="1:18">
      <c r="A986" t="s">
        <v>1061</v>
      </c>
      <c r="B986" t="s">
        <v>73</v>
      </c>
      <c r="C986" t="s">
        <v>105</v>
      </c>
      <c r="D986" s="8">
        <v>2022</v>
      </c>
      <c r="E986" s="29">
        <v>4</v>
      </c>
      <c r="F986">
        <v>6</v>
      </c>
      <c r="G986">
        <v>256</v>
      </c>
      <c r="H986">
        <v>93</v>
      </c>
      <c r="I986">
        <v>64</v>
      </c>
      <c r="J986">
        <v>6.4</v>
      </c>
      <c r="K986" t="s">
        <v>75</v>
      </c>
      <c r="L986" t="s">
        <v>22</v>
      </c>
      <c r="M986" t="s">
        <v>32</v>
      </c>
      <c r="N986" t="s">
        <v>33</v>
      </c>
      <c r="O986" t="s">
        <v>87</v>
      </c>
      <c r="P986" t="s">
        <v>35</v>
      </c>
      <c r="Q986">
        <v>899</v>
      </c>
      <c r="R986">
        <v>652</v>
      </c>
    </row>
    <row r="987" spans="1:18">
      <c r="A987" t="s">
        <v>1062</v>
      </c>
      <c r="B987" t="s">
        <v>77</v>
      </c>
      <c r="C987" t="s">
        <v>78</v>
      </c>
      <c r="D987" s="8">
        <v>2021</v>
      </c>
      <c r="E987" s="29">
        <v>5</v>
      </c>
      <c r="F987">
        <v>8</v>
      </c>
      <c r="G987">
        <v>128</v>
      </c>
      <c r="H987">
        <v>99</v>
      </c>
      <c r="I987">
        <v>48</v>
      </c>
      <c r="J987">
        <v>6.2</v>
      </c>
      <c r="K987" t="s">
        <v>79</v>
      </c>
      <c r="L987" t="s">
        <v>59</v>
      </c>
      <c r="M987" t="s">
        <v>40</v>
      </c>
      <c r="N987" t="s">
        <v>33</v>
      </c>
      <c r="O987" t="s">
        <v>52</v>
      </c>
      <c r="P987" t="s">
        <v>26</v>
      </c>
      <c r="Q987">
        <v>699</v>
      </c>
      <c r="R987">
        <v>563</v>
      </c>
    </row>
    <row r="988" spans="1:18">
      <c r="A988" t="s">
        <v>1063</v>
      </c>
      <c r="B988" t="s">
        <v>68</v>
      </c>
      <c r="C988" t="s">
        <v>69</v>
      </c>
      <c r="D988" s="8">
        <v>2021</v>
      </c>
      <c r="E988" s="29">
        <v>5</v>
      </c>
      <c r="F988">
        <v>4</v>
      </c>
      <c r="G988">
        <v>256</v>
      </c>
      <c r="H988">
        <v>79</v>
      </c>
      <c r="I988">
        <v>64</v>
      </c>
      <c r="J988">
        <v>6.67</v>
      </c>
      <c r="K988" t="s">
        <v>70</v>
      </c>
      <c r="L988" t="s">
        <v>22</v>
      </c>
      <c r="M988" t="s">
        <v>47</v>
      </c>
      <c r="N988" t="s">
        <v>33</v>
      </c>
      <c r="O988" t="s">
        <v>34</v>
      </c>
      <c r="P988" t="s">
        <v>35</v>
      </c>
      <c r="Q988">
        <v>399</v>
      </c>
      <c r="R988">
        <v>327</v>
      </c>
    </row>
    <row r="989" spans="1:18">
      <c r="A989" t="s">
        <v>1064</v>
      </c>
      <c r="B989" t="s">
        <v>77</v>
      </c>
      <c r="C989" t="s">
        <v>78</v>
      </c>
      <c r="D989" s="8">
        <v>2024</v>
      </c>
      <c r="E989" s="29">
        <v>2</v>
      </c>
      <c r="F989">
        <v>6</v>
      </c>
      <c r="G989">
        <v>512</v>
      </c>
      <c r="H989">
        <v>76</v>
      </c>
      <c r="I989">
        <v>50</v>
      </c>
      <c r="J989">
        <v>6.67</v>
      </c>
      <c r="K989" t="s">
        <v>79</v>
      </c>
      <c r="L989" t="s">
        <v>57</v>
      </c>
      <c r="M989" t="s">
        <v>60</v>
      </c>
      <c r="N989" t="s">
        <v>24</v>
      </c>
      <c r="O989" t="s">
        <v>52</v>
      </c>
      <c r="P989" t="s">
        <v>35</v>
      </c>
      <c r="Q989">
        <v>699</v>
      </c>
      <c r="R989">
        <v>428</v>
      </c>
    </row>
    <row r="990" spans="1:18">
      <c r="A990" t="s">
        <v>1065</v>
      </c>
      <c r="B990" t="s">
        <v>37</v>
      </c>
      <c r="C990" t="s">
        <v>38</v>
      </c>
      <c r="D990" s="8">
        <v>2022</v>
      </c>
      <c r="E990" s="29">
        <v>4</v>
      </c>
      <c r="F990">
        <v>6</v>
      </c>
      <c r="G990">
        <v>64</v>
      </c>
      <c r="H990">
        <v>80</v>
      </c>
      <c r="I990">
        <v>108</v>
      </c>
      <c r="J990">
        <v>6.5</v>
      </c>
      <c r="K990" t="s">
        <v>39</v>
      </c>
      <c r="L990" t="s">
        <v>59</v>
      </c>
      <c r="M990" t="s">
        <v>86</v>
      </c>
      <c r="N990" t="s">
        <v>33</v>
      </c>
      <c r="O990" t="s">
        <v>41</v>
      </c>
      <c r="P990" t="s">
        <v>26</v>
      </c>
      <c r="Q990">
        <v>599</v>
      </c>
      <c r="R990">
        <v>492</v>
      </c>
    </row>
    <row r="991" spans="1:18">
      <c r="A991" t="s">
        <v>1066</v>
      </c>
      <c r="B991" t="s">
        <v>37</v>
      </c>
      <c r="C991" t="s">
        <v>38</v>
      </c>
      <c r="D991" s="8">
        <v>2022</v>
      </c>
      <c r="E991" s="29">
        <v>4</v>
      </c>
      <c r="F991">
        <v>4</v>
      </c>
      <c r="G991">
        <v>128</v>
      </c>
      <c r="H991">
        <v>100</v>
      </c>
      <c r="I991">
        <v>12</v>
      </c>
      <c r="J991">
        <v>6.1</v>
      </c>
      <c r="K991" t="s">
        <v>39</v>
      </c>
      <c r="L991" t="s">
        <v>22</v>
      </c>
      <c r="M991" t="s">
        <v>86</v>
      </c>
      <c r="N991" t="s">
        <v>24</v>
      </c>
      <c r="O991" t="s">
        <v>25</v>
      </c>
      <c r="P991" t="s">
        <v>26</v>
      </c>
      <c r="Q991">
        <v>599</v>
      </c>
      <c r="R991">
        <v>422</v>
      </c>
    </row>
    <row r="992" spans="1:18">
      <c r="A992" t="s">
        <v>1067</v>
      </c>
      <c r="B992" t="s">
        <v>37</v>
      </c>
      <c r="C992" t="s">
        <v>38</v>
      </c>
      <c r="D992" s="8">
        <v>2020</v>
      </c>
      <c r="E992" s="29">
        <v>6</v>
      </c>
      <c r="F992">
        <v>6</v>
      </c>
      <c r="G992">
        <v>64</v>
      </c>
      <c r="H992">
        <v>90</v>
      </c>
      <c r="I992">
        <v>48</v>
      </c>
      <c r="J992">
        <v>6.4</v>
      </c>
      <c r="K992" t="s">
        <v>39</v>
      </c>
      <c r="L992" t="s">
        <v>22</v>
      </c>
      <c r="M992" t="s">
        <v>60</v>
      </c>
      <c r="N992" t="s">
        <v>24</v>
      </c>
      <c r="O992" t="s">
        <v>48</v>
      </c>
      <c r="P992" t="s">
        <v>35</v>
      </c>
      <c r="Q992">
        <v>599</v>
      </c>
      <c r="R992">
        <v>401</v>
      </c>
    </row>
    <row r="993" spans="1:18">
      <c r="A993" t="s">
        <v>1068</v>
      </c>
      <c r="B993" t="s">
        <v>28</v>
      </c>
      <c r="C993" t="s">
        <v>29</v>
      </c>
      <c r="D993" s="8">
        <v>2023</v>
      </c>
      <c r="E993" s="29">
        <v>3</v>
      </c>
      <c r="F993">
        <v>6</v>
      </c>
      <c r="G993">
        <v>128</v>
      </c>
      <c r="H993">
        <v>91</v>
      </c>
      <c r="I993">
        <v>108</v>
      </c>
      <c r="J993">
        <v>6.1</v>
      </c>
      <c r="K993" t="s">
        <v>30</v>
      </c>
      <c r="L993" t="s">
        <v>22</v>
      </c>
      <c r="M993" t="s">
        <v>86</v>
      </c>
      <c r="N993" t="s">
        <v>24</v>
      </c>
      <c r="O993" t="s">
        <v>34</v>
      </c>
      <c r="P993" t="s">
        <v>35</v>
      </c>
      <c r="Q993">
        <v>599</v>
      </c>
      <c r="R993">
        <v>449</v>
      </c>
    </row>
    <row r="994" spans="1:18">
      <c r="A994" t="s">
        <v>1069</v>
      </c>
      <c r="B994" t="s">
        <v>64</v>
      </c>
      <c r="C994" t="s">
        <v>65</v>
      </c>
      <c r="D994" s="8">
        <v>2021</v>
      </c>
      <c r="E994" s="29">
        <v>5</v>
      </c>
      <c r="F994">
        <v>12</v>
      </c>
      <c r="G994">
        <v>512</v>
      </c>
      <c r="H994">
        <v>80</v>
      </c>
      <c r="I994">
        <v>64</v>
      </c>
      <c r="J994">
        <v>6.7</v>
      </c>
      <c r="K994" t="s">
        <v>66</v>
      </c>
      <c r="L994" t="s">
        <v>59</v>
      </c>
      <c r="M994" t="s">
        <v>86</v>
      </c>
      <c r="N994" t="s">
        <v>33</v>
      </c>
      <c r="O994" t="s">
        <v>41</v>
      </c>
      <c r="P994" t="s">
        <v>35</v>
      </c>
      <c r="Q994">
        <v>499</v>
      </c>
      <c r="R994">
        <v>489</v>
      </c>
    </row>
    <row r="995" spans="1:18">
      <c r="A995" t="s">
        <v>1070</v>
      </c>
      <c r="B995" t="s">
        <v>37</v>
      </c>
      <c r="C995" t="s">
        <v>38</v>
      </c>
      <c r="D995" s="8">
        <v>2020</v>
      </c>
      <c r="E995" s="29">
        <v>6</v>
      </c>
      <c r="F995">
        <v>4</v>
      </c>
      <c r="G995">
        <v>512</v>
      </c>
      <c r="H995">
        <v>95</v>
      </c>
      <c r="I995">
        <v>108</v>
      </c>
      <c r="J995">
        <v>6.78</v>
      </c>
      <c r="K995" t="s">
        <v>39</v>
      </c>
      <c r="L995" t="s">
        <v>59</v>
      </c>
      <c r="M995" t="s">
        <v>40</v>
      </c>
      <c r="N995" t="s">
        <v>24</v>
      </c>
      <c r="O995" t="s">
        <v>61</v>
      </c>
      <c r="P995" t="s">
        <v>35</v>
      </c>
      <c r="Q995">
        <v>599</v>
      </c>
      <c r="R995">
        <v>589</v>
      </c>
    </row>
    <row r="996" spans="1:18">
      <c r="A996" t="s">
        <v>1071</v>
      </c>
      <c r="B996" t="s">
        <v>19</v>
      </c>
      <c r="C996" t="s">
        <v>20</v>
      </c>
      <c r="D996" s="8">
        <v>2022</v>
      </c>
      <c r="E996" s="29">
        <v>4</v>
      </c>
      <c r="F996">
        <v>4</v>
      </c>
      <c r="G996">
        <v>512</v>
      </c>
      <c r="H996">
        <v>81</v>
      </c>
      <c r="I996">
        <v>48</v>
      </c>
      <c r="J996">
        <v>6.78</v>
      </c>
      <c r="K996" t="s">
        <v>21</v>
      </c>
      <c r="L996" t="s">
        <v>59</v>
      </c>
      <c r="M996" t="s">
        <v>47</v>
      </c>
      <c r="N996" t="s">
        <v>33</v>
      </c>
      <c r="O996" t="s">
        <v>52</v>
      </c>
      <c r="P996" t="s">
        <v>35</v>
      </c>
      <c r="Q996">
        <v>599</v>
      </c>
      <c r="R996">
        <v>551</v>
      </c>
    </row>
    <row r="997" spans="1:18">
      <c r="A997" t="s">
        <v>1072</v>
      </c>
      <c r="B997" t="s">
        <v>54</v>
      </c>
      <c r="C997" t="s">
        <v>55</v>
      </c>
      <c r="D997" s="8">
        <v>2021</v>
      </c>
      <c r="E997" s="29">
        <v>5</v>
      </c>
      <c r="F997">
        <v>8</v>
      </c>
      <c r="G997">
        <v>512</v>
      </c>
      <c r="H997">
        <v>86</v>
      </c>
      <c r="I997">
        <v>50</v>
      </c>
      <c r="J997">
        <v>6.2</v>
      </c>
      <c r="K997" t="s">
        <v>56</v>
      </c>
      <c r="L997" t="s">
        <v>31</v>
      </c>
      <c r="M997" t="s">
        <v>32</v>
      </c>
      <c r="N997" t="s">
        <v>33</v>
      </c>
      <c r="O997" t="s">
        <v>48</v>
      </c>
      <c r="P997" t="s">
        <v>26</v>
      </c>
      <c r="Q997">
        <v>549</v>
      </c>
      <c r="R997">
        <v>539</v>
      </c>
    </row>
    <row r="998" spans="1:18">
      <c r="A998" t="s">
        <v>1073</v>
      </c>
      <c r="B998" t="s">
        <v>28</v>
      </c>
      <c r="C998" t="s">
        <v>29</v>
      </c>
      <c r="D998" s="8">
        <v>2023</v>
      </c>
      <c r="E998" s="29">
        <v>3</v>
      </c>
      <c r="F998">
        <v>12</v>
      </c>
      <c r="G998">
        <v>128</v>
      </c>
      <c r="H998">
        <v>94</v>
      </c>
      <c r="I998">
        <v>50</v>
      </c>
      <c r="J998">
        <v>6.7</v>
      </c>
      <c r="K998" t="s">
        <v>30</v>
      </c>
      <c r="L998" t="s">
        <v>31</v>
      </c>
      <c r="M998" t="s">
        <v>23</v>
      </c>
      <c r="N998" t="s">
        <v>24</v>
      </c>
      <c r="O998" t="s">
        <v>48</v>
      </c>
      <c r="P998" t="s">
        <v>35</v>
      </c>
      <c r="Q998">
        <v>599</v>
      </c>
      <c r="R998">
        <v>574</v>
      </c>
    </row>
    <row r="999" spans="1:18">
      <c r="A999" t="s">
        <v>1074</v>
      </c>
      <c r="B999" t="s">
        <v>44</v>
      </c>
      <c r="C999" t="s">
        <v>45</v>
      </c>
      <c r="D999" s="8">
        <v>2020</v>
      </c>
      <c r="E999" s="29">
        <v>6</v>
      </c>
      <c r="F999">
        <v>12</v>
      </c>
      <c r="G999">
        <v>64</v>
      </c>
      <c r="H999">
        <v>96</v>
      </c>
      <c r="I999">
        <v>50</v>
      </c>
      <c r="J999">
        <v>6.5</v>
      </c>
      <c r="K999" t="s">
        <v>46</v>
      </c>
      <c r="L999" t="s">
        <v>22</v>
      </c>
      <c r="M999" t="s">
        <v>47</v>
      </c>
      <c r="N999" t="s">
        <v>24</v>
      </c>
      <c r="O999" t="s">
        <v>52</v>
      </c>
      <c r="P999" t="s">
        <v>35</v>
      </c>
      <c r="Q999">
        <v>799</v>
      </c>
      <c r="R999">
        <v>566</v>
      </c>
    </row>
    <row r="1000" spans="1:18">
      <c r="A1000" t="s">
        <v>1075</v>
      </c>
      <c r="B1000" t="s">
        <v>64</v>
      </c>
      <c r="C1000" t="s">
        <v>65</v>
      </c>
      <c r="D1000" s="8">
        <v>2024</v>
      </c>
      <c r="E1000" s="29">
        <v>2</v>
      </c>
      <c r="F1000">
        <v>8</v>
      </c>
      <c r="G1000">
        <v>256</v>
      </c>
      <c r="H1000">
        <v>79</v>
      </c>
      <c r="I1000">
        <v>48</v>
      </c>
      <c r="J1000">
        <v>6.2</v>
      </c>
      <c r="K1000" t="s">
        <v>66</v>
      </c>
      <c r="L1000" t="s">
        <v>59</v>
      </c>
      <c r="M1000" t="s">
        <v>60</v>
      </c>
      <c r="N1000" t="s">
        <v>33</v>
      </c>
      <c r="O1000" t="s">
        <v>52</v>
      </c>
      <c r="P1000" t="s">
        <v>35</v>
      </c>
      <c r="Q1000">
        <v>499</v>
      </c>
      <c r="R1000">
        <v>451</v>
      </c>
    </row>
    <row r="1001" spans="1:18">
      <c r="A1001" t="s">
        <v>1076</v>
      </c>
      <c r="B1001" t="s">
        <v>44</v>
      </c>
      <c r="C1001" t="s">
        <v>45</v>
      </c>
      <c r="D1001" s="8">
        <v>2020</v>
      </c>
      <c r="E1001" s="29">
        <v>6</v>
      </c>
      <c r="F1001">
        <v>6</v>
      </c>
      <c r="G1001">
        <v>64</v>
      </c>
      <c r="H1001">
        <v>88</v>
      </c>
      <c r="I1001">
        <v>108</v>
      </c>
      <c r="J1001">
        <v>6.5</v>
      </c>
      <c r="K1001" t="s">
        <v>46</v>
      </c>
      <c r="L1001" t="s">
        <v>59</v>
      </c>
      <c r="M1001" t="s">
        <v>60</v>
      </c>
      <c r="N1001" t="s">
        <v>33</v>
      </c>
      <c r="O1001" t="s">
        <v>41</v>
      </c>
      <c r="P1001" t="s">
        <v>35</v>
      </c>
      <c r="Q1001">
        <v>799</v>
      </c>
      <c r="R1001">
        <v>662</v>
      </c>
    </row>
  </sheetData>
  <conditionalFormatting sqref="H2:H1001">
    <cfRule type="cellIs" dxfId="250" priority="1" operator="between">
      <formula>80</formula>
      <formula>90</formula>
    </cfRule>
    <cfRule type="cellIs" dxfId="249" priority="2" operator="lessThan">
      <formula>80</formula>
    </cfRule>
    <cfRule type="cellIs" dxfId="248" priority="3" operator="greaterThan">
      <formula>90</formula>
    </cfRule>
  </conditionalFormatting>
  <pageMargins left="0.75" right="0.75" top="1" bottom="1" header="0.5" footer="0.5"/>
  <pageSetup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3D0BA-F879-411A-B0A4-1181B85C12CA}">
  <dimension ref="A3:E15"/>
  <sheetViews>
    <sheetView workbookViewId="0">
      <pane ySplit="3" topLeftCell="A4" activePane="bottomLeft" state="frozen"/>
      <selection pane="bottomLeft"/>
    </sheetView>
  </sheetViews>
  <sheetFormatPr defaultRowHeight="15"/>
  <cols>
    <col min="1" max="1" width="11.42578125" customWidth="1"/>
    <col min="2" max="2" width="13.42578125" customWidth="1"/>
    <col min="3" max="3" width="18.140625" customWidth="1"/>
    <col min="4" max="4" width="13.28515625" customWidth="1"/>
    <col min="5" max="5" width="13.42578125" customWidth="1"/>
  </cols>
  <sheetData>
    <row r="3" spans="1:5">
      <c r="A3" s="27" t="s">
        <v>0</v>
      </c>
      <c r="B3" s="27" t="s">
        <v>1</v>
      </c>
      <c r="C3" s="27" t="s">
        <v>1082</v>
      </c>
      <c r="D3" s="27" t="s">
        <v>11</v>
      </c>
      <c r="E3" s="27" t="s">
        <v>1126</v>
      </c>
    </row>
    <row r="4" spans="1:5">
      <c r="A4" s="25" t="s">
        <v>43</v>
      </c>
      <c r="B4" t="str">
        <f>IFERROR(VLOOKUP($A4,Table2[#All],2,0),"Not Found")</f>
        <v>OnePlus</v>
      </c>
      <c r="C4">
        <f>IFERROR(VLOOKUP($A4,Table2[#All],8,0),"Not Found")</f>
        <v>80</v>
      </c>
      <c r="D4" t="str">
        <f>IFERROR(VLOOKUP($A4,Table2[#All],12,0),"Not Found")</f>
        <v>Like New</v>
      </c>
      <c r="E4" t="str">
        <f>IFERROR(VLOOKUP($A4,Table2[#All],16,0),"Not Found")</f>
        <v>No</v>
      </c>
    </row>
    <row r="5" spans="1:5">
      <c r="A5" s="25" t="s">
        <v>76</v>
      </c>
      <c r="B5" t="str">
        <f>IFERROR(VLOOKUP($A5,Table2[#All],2,0),"Not Found")</f>
        <v>Huawei</v>
      </c>
      <c r="C5">
        <f>IFERROR(VLOOKUP($A5,Table2[#All],8,0),"Not Found")</f>
        <v>93</v>
      </c>
      <c r="D5" t="str">
        <f>IFERROR(VLOOKUP($A5,Table2[#All],12,0),"Not Found")</f>
        <v>Good</v>
      </c>
      <c r="E5" t="str">
        <f>IFERROR(VLOOKUP($A5,Table2[#All],16,0),"Not Found")</f>
        <v>Yes</v>
      </c>
    </row>
    <row r="6" spans="1:5">
      <c r="A6" s="25" t="s">
        <v>92</v>
      </c>
      <c r="B6" t="str">
        <f>IFERROR(VLOOKUP($A6,Table2[#All],2,0),"Not Found")</f>
        <v>OnePlus</v>
      </c>
      <c r="C6">
        <f>IFERROR(VLOOKUP($A6,Table2[#All],8,0),"Not Found")</f>
        <v>96</v>
      </c>
      <c r="D6" t="str">
        <f>IFERROR(VLOOKUP($A6,Table2[#All],12,0),"Not Found")</f>
        <v>Excellent</v>
      </c>
      <c r="E6" t="str">
        <f>IFERROR(VLOOKUP($A6,Table2[#All],16,0),"Not Found")</f>
        <v>No</v>
      </c>
    </row>
    <row r="7" spans="1:5">
      <c r="A7" s="25" t="s">
        <v>102</v>
      </c>
      <c r="B7" t="str">
        <f>IFERROR(VLOOKUP($A7,Table2[#All],2,0),"Not Found")</f>
        <v>Huawei</v>
      </c>
      <c r="C7">
        <f>IFERROR(VLOOKUP($A7,Table2[#All],8,0),"Not Found")</f>
        <v>95</v>
      </c>
      <c r="D7" t="str">
        <f>IFERROR(VLOOKUP($A7,Table2[#All],12,0),"Not Found")</f>
        <v>Like New</v>
      </c>
      <c r="E7" t="str">
        <f>IFERROR(VLOOKUP($A7,Table2[#All],16,0),"Not Found")</f>
        <v>Yes</v>
      </c>
    </row>
    <row r="8" spans="1:5">
      <c r="A8" s="25" t="s">
        <v>118</v>
      </c>
      <c r="B8" t="str">
        <f>IFERROR(VLOOKUP($A8,Table2[#All],2,0),"Not Found")</f>
        <v>OPPO</v>
      </c>
      <c r="C8">
        <f>IFERROR(VLOOKUP($A8,Table2[#All],8,0),"Not Found")</f>
        <v>83</v>
      </c>
      <c r="D8" t="str">
        <f>IFERROR(VLOOKUP($A8,Table2[#All],12,0),"Not Found")</f>
        <v>Good</v>
      </c>
      <c r="E8" t="str">
        <f>IFERROR(VLOOKUP($A8,Table2[#All],16,0),"Not Found")</f>
        <v>Yes</v>
      </c>
    </row>
    <row r="9" spans="1:5">
      <c r="A9" s="25" t="s">
        <v>141</v>
      </c>
      <c r="B9" t="str">
        <f>IFERROR(VLOOKUP($A9,Table2[#All],2,0),"Not Found")</f>
        <v>Google</v>
      </c>
      <c r="C9">
        <f>IFERROR(VLOOKUP($A9,Table2[#All],8,0),"Not Found")</f>
        <v>87</v>
      </c>
      <c r="D9" t="str">
        <f>IFERROR(VLOOKUP($A9,Table2[#All],12,0),"Not Found")</f>
        <v>Like New</v>
      </c>
      <c r="E9" t="str">
        <f>IFERROR(VLOOKUP($A9,Table2[#All],16,0),"Not Found")</f>
        <v>Yes</v>
      </c>
    </row>
    <row r="10" spans="1:5">
      <c r="A10" s="25" t="s">
        <v>156</v>
      </c>
      <c r="B10" t="str">
        <f>IFERROR(VLOOKUP($A10,Table2[#All],2,0),"Not Found")</f>
        <v>Samsung</v>
      </c>
      <c r="C10">
        <f>IFERROR(VLOOKUP($A10,Table2[#All],8,0),"Not Found")</f>
        <v>81</v>
      </c>
      <c r="D10" t="str">
        <f>IFERROR(VLOOKUP($A10,Table2[#All],12,0),"Not Found")</f>
        <v>Like New</v>
      </c>
      <c r="E10" t="str">
        <f>IFERROR(VLOOKUP($A10,Table2[#All],16,0),"Not Found")</f>
        <v>No</v>
      </c>
    </row>
    <row r="11" spans="1:5">
      <c r="A11" s="26" t="s">
        <v>182</v>
      </c>
      <c r="B11" t="str">
        <f>IFERROR(VLOOKUP($A11,Table2[#All],2,0),"Not Found")</f>
        <v>Huawei</v>
      </c>
      <c r="C11">
        <f>IFERROR(VLOOKUP($A11,Table2[#All],8,0),"Not Found")</f>
        <v>83</v>
      </c>
      <c r="D11" t="str">
        <f>IFERROR(VLOOKUP($A11,Table2[#All],12,0),"Not Found")</f>
        <v>Fair</v>
      </c>
      <c r="E11" t="str">
        <f>IFERROR(VLOOKUP($A11,Table2[#All],16,0),"Not Found")</f>
        <v>No</v>
      </c>
    </row>
    <row r="12" spans="1:5">
      <c r="A12" s="25" t="s">
        <v>230</v>
      </c>
      <c r="B12" t="str">
        <f>IFERROR(VLOOKUP($A12,Table2[#All],2,0),"Not Found")</f>
        <v>Realme</v>
      </c>
      <c r="C12">
        <f>IFERROR(VLOOKUP($A12,Table2[#All],8,0),"Not Found")</f>
        <v>96</v>
      </c>
      <c r="D12" t="str">
        <f>IFERROR(VLOOKUP($A12,Table2[#All],12,0),"Not Found")</f>
        <v>Fair</v>
      </c>
      <c r="E12" t="str">
        <f>IFERROR(VLOOKUP($A12,Table2[#All],16,0),"Not Found")</f>
        <v>Yes</v>
      </c>
    </row>
    <row r="13" spans="1:5">
      <c r="A13" s="25" t="s">
        <v>278</v>
      </c>
      <c r="B13" t="str">
        <f>IFERROR(VLOOKUP($A13,Table2[#All],2,0),"Not Found")</f>
        <v>Motorola</v>
      </c>
      <c r="C13">
        <f>IFERROR(VLOOKUP($A13,Table2[#All],8,0),"Not Found")</f>
        <v>78</v>
      </c>
      <c r="D13" t="str">
        <f>IFERROR(VLOOKUP($A13,Table2[#All],12,0),"Not Found")</f>
        <v>Fair</v>
      </c>
      <c r="E13" t="str">
        <f>IFERROR(VLOOKUP($A13,Table2[#All],16,0),"Not Found")</f>
        <v>Yes</v>
      </c>
    </row>
    <row r="14" spans="1:5">
      <c r="A14" s="25" t="s">
        <v>401</v>
      </c>
      <c r="B14" t="str">
        <f>IFERROR(VLOOKUP($A14,Table2[#All],2,0),"Not Found")</f>
        <v>Samsung</v>
      </c>
      <c r="C14">
        <f>IFERROR(VLOOKUP($A14,Table2[#All],8,0),"Not Found")</f>
        <v>87</v>
      </c>
      <c r="D14" t="str">
        <f>IFERROR(VLOOKUP($A14,Table2[#All],12,0),"Not Found")</f>
        <v>Excellent</v>
      </c>
      <c r="E14" t="str">
        <f>IFERROR(VLOOKUP($A14,Table2[#All],16,0),"Not Found")</f>
        <v>No</v>
      </c>
    </row>
    <row r="15" spans="1:5">
      <c r="A15" s="25" t="s">
        <v>1127</v>
      </c>
      <c r="B15" t="str">
        <f>IFERROR(VLOOKUP($A15,Table2[#All],2,0),"Not Found")</f>
        <v>Not Found</v>
      </c>
      <c r="C15" t="str">
        <f>IFERROR(VLOOKUP($A15,Table2[#All],8,0),"Not Found")</f>
        <v>Not Found</v>
      </c>
      <c r="D15" t="str">
        <f>IFERROR(VLOOKUP($A15,Table2[#All],12,0),"Not Found")</f>
        <v>Not Found</v>
      </c>
      <c r="E15" t="str">
        <f>IFERROR(VLOOKUP($A15,Table2[#All],16,0),"Not Found")</f>
        <v>Not Found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BBB92-F7A4-4106-A384-A212033608B1}">
  <dimension ref="A2:Q60"/>
  <sheetViews>
    <sheetView zoomScale="85" zoomScaleNormal="85" workbookViewId="0">
      <selection activeCell="A17" sqref="A17"/>
    </sheetView>
  </sheetViews>
  <sheetFormatPr defaultRowHeight="15"/>
  <cols>
    <col min="1" max="1" width="25.7109375" bestFit="1" customWidth="1"/>
    <col min="2" max="2" width="16.28515625" bestFit="1" customWidth="1"/>
    <col min="3" max="3" width="5.7109375" bestFit="1" customWidth="1"/>
    <col min="4" max="4" width="11.28515625" bestFit="1" customWidth="1"/>
    <col min="5" max="5" width="8.42578125" customWidth="1"/>
    <col min="6" max="6" width="23.7109375" customWidth="1"/>
    <col min="7" max="7" width="11.28515625" bestFit="1" customWidth="1"/>
    <col min="8" max="8" width="11.5703125" customWidth="1"/>
    <col min="9" max="9" width="18" customWidth="1"/>
    <col min="10" max="10" width="30" bestFit="1" customWidth="1"/>
    <col min="11" max="11" width="27.7109375" bestFit="1" customWidth="1"/>
    <col min="12" max="12" width="15.7109375" customWidth="1"/>
    <col min="13" max="13" width="43.42578125" customWidth="1"/>
    <col min="14" max="14" width="11.140625" customWidth="1"/>
    <col min="15" max="15" width="4.85546875" customWidth="1"/>
    <col min="16" max="16" width="13.140625" bestFit="1" customWidth="1"/>
    <col min="17" max="17" width="41.42578125" customWidth="1"/>
    <col min="18" max="41" width="3" bestFit="1" customWidth="1"/>
    <col min="42" max="42" width="4" bestFit="1" customWidth="1"/>
    <col min="43" max="43" width="11.28515625" bestFit="1" customWidth="1"/>
  </cols>
  <sheetData>
    <row r="2" spans="1:17">
      <c r="A2" s="7" t="s">
        <v>1092</v>
      </c>
      <c r="J2" s="7" t="s">
        <v>1093</v>
      </c>
      <c r="P2" t="s">
        <v>1098</v>
      </c>
    </row>
    <row r="3" spans="1:17">
      <c r="A3" s="3" t="s">
        <v>1088</v>
      </c>
      <c r="B3" t="s">
        <v>1090</v>
      </c>
      <c r="J3" s="3" t="s">
        <v>1088</v>
      </c>
      <c r="K3" t="s">
        <v>1090</v>
      </c>
      <c r="P3" s="3" t="s">
        <v>1088</v>
      </c>
      <c r="Q3" t="s">
        <v>1097</v>
      </c>
    </row>
    <row r="4" spans="1:17">
      <c r="A4" s="4" t="s">
        <v>68</v>
      </c>
      <c r="B4" s="6">
        <v>313.02469135802471</v>
      </c>
      <c r="C4" s="6"/>
      <c r="D4" s="6"/>
      <c r="E4" s="6"/>
      <c r="F4" s="6"/>
      <c r="G4" s="6"/>
      <c r="H4" s="6"/>
      <c r="I4" s="6"/>
      <c r="J4" s="4">
        <v>56</v>
      </c>
      <c r="K4" s="6">
        <v>428</v>
      </c>
      <c r="L4" s="6"/>
      <c r="M4" s="6"/>
      <c r="N4" s="6"/>
      <c r="O4" s="6"/>
      <c r="P4" s="4" t="s">
        <v>73</v>
      </c>
      <c r="Q4" s="8">
        <v>87.546391752577321</v>
      </c>
    </row>
    <row r="5" spans="1:17">
      <c r="A5" s="4" t="s">
        <v>54</v>
      </c>
      <c r="B5" s="6">
        <v>447.78301886792451</v>
      </c>
      <c r="C5" s="6"/>
      <c r="D5" s="6"/>
      <c r="E5" s="6"/>
      <c r="F5" s="6"/>
      <c r="G5" s="6"/>
      <c r="H5" s="6"/>
      <c r="I5" s="6"/>
      <c r="J5" s="4">
        <v>64</v>
      </c>
      <c r="K5" s="6">
        <v>474.94485294117646</v>
      </c>
      <c r="L5" s="6"/>
      <c r="M5" s="6"/>
      <c r="N5" s="6"/>
      <c r="O5" s="6"/>
      <c r="P5" s="4" t="s">
        <v>28</v>
      </c>
      <c r="Q5" s="8">
        <v>88.032258064516128</v>
      </c>
    </row>
    <row r="6" spans="1:17">
      <c r="A6" s="4" t="s">
        <v>89</v>
      </c>
      <c r="B6" s="6">
        <v>562.58139534883719</v>
      </c>
      <c r="C6" s="6"/>
      <c r="D6" s="6"/>
      <c r="E6" s="6"/>
      <c r="F6" s="6"/>
      <c r="G6" s="6"/>
      <c r="H6" s="6"/>
      <c r="I6" s="6"/>
      <c r="J6" s="4">
        <v>128</v>
      </c>
      <c r="K6" s="6">
        <v>486.22988505747128</v>
      </c>
      <c r="L6" s="6"/>
      <c r="M6" s="6"/>
      <c r="N6" s="6"/>
      <c r="O6" s="6"/>
      <c r="P6" s="4" t="s">
        <v>77</v>
      </c>
      <c r="Q6" s="8">
        <v>87.966666666666669</v>
      </c>
    </row>
    <row r="7" spans="1:17">
      <c r="A7" s="4" t="s">
        <v>19</v>
      </c>
      <c r="B7" s="6">
        <v>497.40449438202245</v>
      </c>
      <c r="C7" s="6"/>
      <c r="D7" s="6"/>
      <c r="E7" s="6"/>
      <c r="F7" s="6"/>
      <c r="G7" s="6"/>
      <c r="H7" s="6"/>
      <c r="I7" s="6"/>
      <c r="J7" s="4">
        <v>256</v>
      </c>
      <c r="K7" s="6">
        <v>515.08733624454146</v>
      </c>
      <c r="L7" s="6"/>
      <c r="M7" s="6"/>
      <c r="N7" s="6"/>
      <c r="O7" s="6"/>
      <c r="P7" s="4" t="s">
        <v>37</v>
      </c>
      <c r="Q7" s="8">
        <v>87.534653465346537</v>
      </c>
    </row>
    <row r="8" spans="1:17">
      <c r="A8" s="4" t="s">
        <v>64</v>
      </c>
      <c r="B8" s="6">
        <v>418.07070707070704</v>
      </c>
      <c r="C8" s="6"/>
      <c r="D8" s="6"/>
      <c r="E8" s="6"/>
      <c r="F8" s="6"/>
      <c r="G8" s="6"/>
      <c r="H8" s="6"/>
      <c r="I8" s="6"/>
      <c r="J8" s="4">
        <v>512</v>
      </c>
      <c r="K8" s="6">
        <v>555.7341772151899</v>
      </c>
      <c r="L8" s="6"/>
      <c r="M8" s="6"/>
      <c r="N8" s="6"/>
      <c r="O8" s="6"/>
      <c r="P8" s="4" t="s">
        <v>44</v>
      </c>
      <c r="Q8" s="8">
        <v>88.185567010309285</v>
      </c>
    </row>
    <row r="9" spans="1:17">
      <c r="A9" s="11" t="s">
        <v>44</v>
      </c>
      <c r="B9" s="12">
        <v>626.11340206185571</v>
      </c>
      <c r="C9" s="6"/>
      <c r="D9" s="6"/>
      <c r="E9" s="6"/>
      <c r="F9" s="6"/>
      <c r="G9" s="6"/>
      <c r="H9" s="6"/>
      <c r="I9" s="6"/>
      <c r="J9" s="4" t="s">
        <v>1089</v>
      </c>
      <c r="K9" s="6">
        <v>506.18299999999999</v>
      </c>
      <c r="L9" s="6"/>
      <c r="M9" s="6"/>
      <c r="N9" s="6"/>
      <c r="O9" s="6"/>
      <c r="P9" s="4" t="s">
        <v>64</v>
      </c>
      <c r="Q9" s="8">
        <v>88.070707070707073</v>
      </c>
    </row>
    <row r="10" spans="1:17">
      <c r="A10" s="4" t="s">
        <v>37</v>
      </c>
      <c r="B10" s="6">
        <v>490.29702970297029</v>
      </c>
      <c r="C10" s="6"/>
      <c r="D10" s="6"/>
      <c r="E10" s="6"/>
      <c r="F10" s="6"/>
      <c r="G10" s="6"/>
      <c r="H10" s="6"/>
      <c r="I10" s="6"/>
      <c r="P10" s="4" t="s">
        <v>19</v>
      </c>
      <c r="Q10" s="8">
        <v>88.573033707865164</v>
      </c>
    </row>
    <row r="11" spans="1:17">
      <c r="A11" s="4" t="s">
        <v>77</v>
      </c>
      <c r="B11" s="6">
        <v>562.51666666666665</v>
      </c>
      <c r="C11" s="6"/>
      <c r="D11" s="6"/>
      <c r="E11" s="6"/>
      <c r="F11" s="6"/>
      <c r="G11" s="6"/>
      <c r="H11" s="6"/>
      <c r="I11" s="6"/>
      <c r="P11" s="4" t="s">
        <v>89</v>
      </c>
      <c r="Q11" s="8">
        <v>87.558139534883722</v>
      </c>
    </row>
    <row r="12" spans="1:17">
      <c r="A12" s="4" t="s">
        <v>28</v>
      </c>
      <c r="B12" s="6">
        <v>491.47580645161293</v>
      </c>
      <c r="C12" s="6"/>
      <c r="D12" s="6"/>
      <c r="E12" s="6"/>
      <c r="F12" s="6"/>
      <c r="G12" s="6"/>
      <c r="H12" s="6"/>
      <c r="I12" s="6"/>
      <c r="J12" t="s">
        <v>1096</v>
      </c>
      <c r="P12" s="4" t="s">
        <v>54</v>
      </c>
      <c r="Q12" s="8">
        <v>86.64150943396227</v>
      </c>
    </row>
    <row r="13" spans="1:17">
      <c r="A13" s="4" t="s">
        <v>73</v>
      </c>
      <c r="B13" s="6">
        <v>625</v>
      </c>
      <c r="C13" s="6"/>
      <c r="D13" s="6"/>
      <c r="E13" s="6"/>
      <c r="F13" s="6"/>
      <c r="G13" s="6"/>
      <c r="H13" s="6"/>
      <c r="I13" s="6"/>
      <c r="J13" s="3" t="s">
        <v>1</v>
      </c>
      <c r="K13" t="s">
        <v>1095</v>
      </c>
      <c r="P13" s="4" t="s">
        <v>68</v>
      </c>
      <c r="Q13" s="8">
        <v>86</v>
      </c>
    </row>
    <row r="14" spans="1:17">
      <c r="A14" s="4" t="s">
        <v>1089</v>
      </c>
      <c r="B14" s="6">
        <v>506.18299999999999</v>
      </c>
      <c r="C14" s="6"/>
      <c r="D14" s="6"/>
      <c r="E14" s="6"/>
      <c r="F14" s="6"/>
      <c r="G14" s="6"/>
      <c r="H14" s="6"/>
      <c r="I14" s="6"/>
      <c r="J14" s="4" t="s">
        <v>73</v>
      </c>
      <c r="K14" s="5">
        <v>97</v>
      </c>
      <c r="L14" s="5"/>
      <c r="M14" s="5"/>
      <c r="N14" s="5"/>
      <c r="O14" s="5"/>
      <c r="P14" s="4" t="s">
        <v>1089</v>
      </c>
      <c r="Q14" s="8">
        <v>87.641000000000005</v>
      </c>
    </row>
    <row r="15" spans="1:17">
      <c r="J15" s="4" t="s">
        <v>28</v>
      </c>
      <c r="K15" s="5">
        <v>124</v>
      </c>
      <c r="L15" s="5"/>
      <c r="M15" s="5"/>
      <c r="N15" s="5"/>
      <c r="O15" s="5"/>
    </row>
    <row r="16" spans="1:17">
      <c r="A16" s="7" t="s">
        <v>1091</v>
      </c>
      <c r="J16" s="4" t="s">
        <v>77</v>
      </c>
      <c r="K16" s="5">
        <v>120</v>
      </c>
      <c r="L16" s="5"/>
      <c r="M16" s="5"/>
      <c r="N16" s="5"/>
      <c r="O16" s="5"/>
    </row>
    <row r="17" spans="1:15">
      <c r="A17" s="3" t="s">
        <v>1088</v>
      </c>
      <c r="B17" t="s">
        <v>1090</v>
      </c>
      <c r="J17" s="4" t="s">
        <v>37</v>
      </c>
      <c r="K17" s="5">
        <v>101</v>
      </c>
      <c r="L17" s="5"/>
      <c r="M17" s="5"/>
      <c r="N17" s="5"/>
      <c r="O17" s="5"/>
    </row>
    <row r="18" spans="1:15">
      <c r="A18" s="4" t="s">
        <v>59</v>
      </c>
      <c r="B18" s="6">
        <v>554.07022471910113</v>
      </c>
      <c r="C18" s="6"/>
      <c r="D18" s="6"/>
      <c r="E18" s="6"/>
      <c r="F18" s="6"/>
      <c r="G18" s="6"/>
      <c r="H18" s="6"/>
      <c r="I18" s="6"/>
      <c r="J18" s="4" t="s">
        <v>44</v>
      </c>
      <c r="K18" s="5">
        <v>97</v>
      </c>
      <c r="L18" s="5"/>
      <c r="M18" s="5"/>
      <c r="N18" s="5"/>
      <c r="O18" s="5"/>
    </row>
    <row r="19" spans="1:15">
      <c r="A19" s="4" t="s">
        <v>57</v>
      </c>
      <c r="B19" s="6">
        <v>362.75238095238097</v>
      </c>
      <c r="C19" s="6"/>
      <c r="D19" s="6"/>
      <c r="E19" s="6"/>
      <c r="F19" s="6"/>
      <c r="G19" s="6"/>
      <c r="H19" s="6"/>
      <c r="I19" s="6"/>
      <c r="J19" s="4" t="s">
        <v>64</v>
      </c>
      <c r="K19" s="5">
        <v>99</v>
      </c>
      <c r="L19" s="5"/>
      <c r="M19" s="5"/>
      <c r="N19" s="5"/>
      <c r="O19" s="5"/>
    </row>
    <row r="20" spans="1:15">
      <c r="A20" s="4" t="s">
        <v>22</v>
      </c>
      <c r="B20" s="6">
        <v>456.68678160919541</v>
      </c>
      <c r="C20" s="6"/>
      <c r="D20" s="6"/>
      <c r="E20" s="6"/>
      <c r="F20" s="6"/>
      <c r="G20" s="6"/>
      <c r="H20" s="6"/>
      <c r="I20" s="6"/>
      <c r="J20" s="4" t="s">
        <v>19</v>
      </c>
      <c r="K20" s="5">
        <v>89</v>
      </c>
      <c r="L20" s="5"/>
      <c r="M20" s="5"/>
      <c r="N20" s="5"/>
      <c r="O20" s="5"/>
    </row>
    <row r="21" spans="1:15">
      <c r="A21" s="9" t="s">
        <v>31</v>
      </c>
      <c r="B21" s="10">
        <v>585.95811518324604</v>
      </c>
      <c r="C21" s="6"/>
      <c r="D21" s="6"/>
      <c r="E21" s="6"/>
      <c r="F21" s="6"/>
      <c r="G21" s="6"/>
      <c r="H21" s="6"/>
      <c r="I21" s="6"/>
      <c r="J21" s="4" t="s">
        <v>89</v>
      </c>
      <c r="K21" s="5">
        <v>86</v>
      </c>
      <c r="L21" s="5"/>
      <c r="M21" s="5"/>
      <c r="N21" s="5"/>
      <c r="O21" s="5"/>
    </row>
    <row r="22" spans="1:15">
      <c r="A22" s="4" t="s">
        <v>1089</v>
      </c>
      <c r="B22" s="6">
        <v>506.18299999999999</v>
      </c>
      <c r="C22" s="6"/>
      <c r="D22" s="6"/>
      <c r="E22" s="6"/>
      <c r="F22" s="6"/>
      <c r="G22" s="6"/>
      <c r="H22" s="6"/>
      <c r="I22" s="6"/>
      <c r="J22" s="4" t="s">
        <v>54</v>
      </c>
      <c r="K22" s="5">
        <v>106</v>
      </c>
      <c r="L22" s="5"/>
      <c r="M22" s="5"/>
      <c r="N22" s="5"/>
      <c r="O22" s="5"/>
    </row>
    <row r="23" spans="1:15">
      <c r="J23" s="4" t="s">
        <v>68</v>
      </c>
      <c r="K23" s="5">
        <v>81</v>
      </c>
      <c r="L23" s="5"/>
      <c r="M23" s="5"/>
      <c r="N23" s="5"/>
      <c r="O23" s="5"/>
    </row>
    <row r="24" spans="1:15">
      <c r="J24" s="4" t="s">
        <v>1089</v>
      </c>
      <c r="K24" s="5">
        <v>1000</v>
      </c>
      <c r="L24" s="5"/>
      <c r="M24" s="5"/>
      <c r="N24" s="5"/>
      <c r="O24" s="5"/>
    </row>
    <row r="31" spans="1:15">
      <c r="A31" s="7" t="s">
        <v>1100</v>
      </c>
    </row>
    <row r="32" spans="1:15">
      <c r="A32" s="3" t="s">
        <v>1099</v>
      </c>
      <c r="B32" s="3" t="s">
        <v>1094</v>
      </c>
    </row>
    <row r="33" spans="1:6">
      <c r="A33" s="3" t="s">
        <v>1088</v>
      </c>
      <c r="B33" s="28" t="s">
        <v>33</v>
      </c>
      <c r="C33" s="28" t="s">
        <v>24</v>
      </c>
      <c r="D33" s="28" t="s">
        <v>1089</v>
      </c>
    </row>
    <row r="34" spans="1:6">
      <c r="A34" s="4" t="s">
        <v>73</v>
      </c>
      <c r="B34" s="5">
        <v>48</v>
      </c>
      <c r="C34" s="5">
        <v>49</v>
      </c>
      <c r="D34" s="5">
        <v>97</v>
      </c>
      <c r="E34" s="5"/>
      <c r="F34" s="5"/>
    </row>
    <row r="35" spans="1:6">
      <c r="A35" s="4" t="s">
        <v>28</v>
      </c>
      <c r="B35" s="5">
        <v>79</v>
      </c>
      <c r="C35" s="5">
        <v>45</v>
      </c>
      <c r="D35" s="5">
        <v>124</v>
      </c>
      <c r="E35" s="5"/>
      <c r="F35" s="5"/>
    </row>
    <row r="36" spans="1:6">
      <c r="A36" s="4" t="s">
        <v>77</v>
      </c>
      <c r="B36" s="5">
        <v>58</v>
      </c>
      <c r="C36" s="5">
        <v>62</v>
      </c>
      <c r="D36" s="5">
        <v>120</v>
      </c>
      <c r="E36" s="5"/>
      <c r="F36" s="5"/>
    </row>
    <row r="37" spans="1:6">
      <c r="A37" s="4" t="s">
        <v>37</v>
      </c>
      <c r="B37" s="5">
        <v>50</v>
      </c>
      <c r="C37" s="5">
        <v>51</v>
      </c>
      <c r="D37" s="5">
        <v>101</v>
      </c>
      <c r="E37" s="5"/>
      <c r="F37" s="5"/>
    </row>
    <row r="38" spans="1:6">
      <c r="A38" s="4" t="s">
        <v>44</v>
      </c>
      <c r="B38" s="5">
        <v>49</v>
      </c>
      <c r="C38" s="5">
        <v>48</v>
      </c>
      <c r="D38" s="5">
        <v>97</v>
      </c>
      <c r="E38" s="5"/>
      <c r="F38" s="5"/>
    </row>
    <row r="39" spans="1:6">
      <c r="A39" s="4" t="s">
        <v>64</v>
      </c>
      <c r="B39" s="5">
        <v>48</v>
      </c>
      <c r="C39" s="5">
        <v>51</v>
      </c>
      <c r="D39" s="5">
        <v>99</v>
      </c>
      <c r="E39" s="5"/>
      <c r="F39" s="5"/>
    </row>
    <row r="40" spans="1:6">
      <c r="A40" s="4" t="s">
        <v>19</v>
      </c>
      <c r="B40" s="5">
        <v>44</v>
      </c>
      <c r="C40" s="5">
        <v>45</v>
      </c>
      <c r="D40" s="5">
        <v>89</v>
      </c>
      <c r="E40" s="5"/>
      <c r="F40" s="5"/>
    </row>
    <row r="41" spans="1:6">
      <c r="A41" s="4" t="s">
        <v>89</v>
      </c>
      <c r="B41" s="5">
        <v>45</v>
      </c>
      <c r="C41" s="5">
        <v>41</v>
      </c>
      <c r="D41" s="5">
        <v>86</v>
      </c>
      <c r="E41" s="5"/>
      <c r="F41" s="5"/>
    </row>
    <row r="42" spans="1:6">
      <c r="A42" s="4" t="s">
        <v>54</v>
      </c>
      <c r="B42" s="5">
        <v>53</v>
      </c>
      <c r="C42" s="5">
        <v>53</v>
      </c>
      <c r="D42" s="5">
        <v>106</v>
      </c>
      <c r="E42" s="5"/>
      <c r="F42" s="5"/>
    </row>
    <row r="43" spans="1:6">
      <c r="A43" s="4" t="s">
        <v>68</v>
      </c>
      <c r="B43" s="5">
        <v>37</v>
      </c>
      <c r="C43" s="5">
        <v>44</v>
      </c>
      <c r="D43" s="5">
        <v>81</v>
      </c>
      <c r="E43" s="5"/>
      <c r="F43" s="5"/>
    </row>
    <row r="44" spans="1:6">
      <c r="A44" s="4" t="s">
        <v>1089</v>
      </c>
      <c r="B44" s="5">
        <v>511</v>
      </c>
      <c r="C44" s="5">
        <v>489</v>
      </c>
      <c r="D44" s="5">
        <v>1000</v>
      </c>
      <c r="E44" s="5"/>
      <c r="F44" s="5"/>
    </row>
    <row r="48" spans="1:6">
      <c r="A48" s="3" t="s">
        <v>1</v>
      </c>
      <c r="B48" t="s">
        <v>1128</v>
      </c>
    </row>
    <row r="50" spans="1:9">
      <c r="A50" s="3" t="s">
        <v>1099</v>
      </c>
      <c r="B50" s="3" t="s">
        <v>1094</v>
      </c>
    </row>
    <row r="51" spans="1:9">
      <c r="A51" s="3" t="s">
        <v>1088</v>
      </c>
      <c r="B51">
        <v>56</v>
      </c>
      <c r="C51">
        <v>64</v>
      </c>
      <c r="D51">
        <v>128</v>
      </c>
      <c r="E51">
        <v>256</v>
      </c>
      <c r="F51">
        <v>512</v>
      </c>
      <c r="G51" t="s">
        <v>1089</v>
      </c>
    </row>
    <row r="52" spans="1:9">
      <c r="A52" s="4" t="s">
        <v>61</v>
      </c>
      <c r="B52" s="5"/>
      <c r="C52" s="5">
        <v>32</v>
      </c>
      <c r="D52" s="5">
        <v>33</v>
      </c>
      <c r="E52" s="5">
        <v>31</v>
      </c>
      <c r="F52" s="5">
        <v>34</v>
      </c>
      <c r="G52" s="5">
        <v>130</v>
      </c>
      <c r="H52" s="5"/>
      <c r="I52" s="5"/>
    </row>
    <row r="53" spans="1:9">
      <c r="A53" s="4" t="s">
        <v>87</v>
      </c>
      <c r="B53" s="5"/>
      <c r="C53" s="5">
        <v>32</v>
      </c>
      <c r="D53" s="5">
        <v>36</v>
      </c>
      <c r="E53" s="5">
        <v>31</v>
      </c>
      <c r="F53" s="5">
        <v>25</v>
      </c>
      <c r="G53" s="5">
        <v>124</v>
      </c>
      <c r="H53" s="5"/>
      <c r="I53" s="5"/>
    </row>
    <row r="54" spans="1:9">
      <c r="A54" s="4" t="s">
        <v>25</v>
      </c>
      <c r="B54" s="5"/>
      <c r="C54" s="5">
        <v>27</v>
      </c>
      <c r="D54" s="5">
        <v>29</v>
      </c>
      <c r="E54" s="5">
        <v>28</v>
      </c>
      <c r="F54" s="5">
        <v>29</v>
      </c>
      <c r="G54" s="5">
        <v>113</v>
      </c>
      <c r="H54" s="5"/>
      <c r="I54" s="5"/>
    </row>
    <row r="55" spans="1:9">
      <c r="A55" s="4" t="s">
        <v>84</v>
      </c>
      <c r="B55" s="5"/>
      <c r="C55" s="5">
        <v>24</v>
      </c>
      <c r="D55" s="5">
        <v>32</v>
      </c>
      <c r="E55" s="5">
        <v>21</v>
      </c>
      <c r="F55" s="5">
        <v>30</v>
      </c>
      <c r="G55" s="5">
        <v>107</v>
      </c>
      <c r="H55" s="5"/>
      <c r="I55" s="5"/>
    </row>
    <row r="56" spans="1:9">
      <c r="A56" s="4" t="s">
        <v>41</v>
      </c>
      <c r="B56" s="5"/>
      <c r="C56" s="5">
        <v>44</v>
      </c>
      <c r="D56" s="5">
        <v>32</v>
      </c>
      <c r="E56" s="5">
        <v>19</v>
      </c>
      <c r="F56" s="5">
        <v>32</v>
      </c>
      <c r="G56" s="5">
        <v>127</v>
      </c>
      <c r="H56" s="5"/>
      <c r="I56" s="5"/>
    </row>
    <row r="57" spans="1:9">
      <c r="A57" s="4" t="s">
        <v>48</v>
      </c>
      <c r="B57" s="5"/>
      <c r="C57" s="5">
        <v>46</v>
      </c>
      <c r="D57" s="5">
        <v>34</v>
      </c>
      <c r="E57" s="5">
        <v>27</v>
      </c>
      <c r="F57" s="5">
        <v>27</v>
      </c>
      <c r="G57" s="5">
        <v>134</v>
      </c>
      <c r="H57" s="5"/>
      <c r="I57" s="5"/>
    </row>
    <row r="58" spans="1:9">
      <c r="A58" s="4" t="s">
        <v>34</v>
      </c>
      <c r="B58" s="5">
        <v>1</v>
      </c>
      <c r="C58" s="5">
        <v>34</v>
      </c>
      <c r="D58" s="5">
        <v>36</v>
      </c>
      <c r="E58" s="5">
        <v>34</v>
      </c>
      <c r="F58" s="5">
        <v>28</v>
      </c>
      <c r="G58" s="5">
        <v>133</v>
      </c>
      <c r="H58" s="5"/>
      <c r="I58" s="5"/>
    </row>
    <row r="59" spans="1:9">
      <c r="A59" s="4" t="s">
        <v>52</v>
      </c>
      <c r="B59" s="5"/>
      <c r="C59" s="5">
        <v>33</v>
      </c>
      <c r="D59" s="5">
        <v>29</v>
      </c>
      <c r="E59" s="5">
        <v>38</v>
      </c>
      <c r="F59" s="5">
        <v>32</v>
      </c>
      <c r="G59" s="5">
        <v>132</v>
      </c>
      <c r="H59" s="5"/>
      <c r="I59" s="5"/>
    </row>
    <row r="60" spans="1:9">
      <c r="A60" s="4" t="s">
        <v>1089</v>
      </c>
      <c r="B60" s="5">
        <v>1</v>
      </c>
      <c r="C60" s="5">
        <v>272</v>
      </c>
      <c r="D60" s="5">
        <v>261</v>
      </c>
      <c r="E60" s="5">
        <v>229</v>
      </c>
      <c r="F60" s="5">
        <v>237</v>
      </c>
      <c r="G60" s="5">
        <v>1000</v>
      </c>
      <c r="H60" s="5"/>
      <c r="I60" s="5"/>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2C11C-8BAB-4C9B-8503-454F44EDA7EC}">
  <dimension ref="A1:Q88"/>
  <sheetViews>
    <sheetView showGridLines="0" tabSelected="1" zoomScale="120" zoomScaleNormal="120" workbookViewId="0">
      <selection activeCell="Q9" sqref="Q9"/>
    </sheetView>
  </sheetViews>
  <sheetFormatPr defaultRowHeight="15"/>
  <cols>
    <col min="9" max="9" width="9.140625" customWidth="1"/>
  </cols>
  <sheetData>
    <row r="1" spans="1:17" ht="15" customHeight="1">
      <c r="A1" s="43" t="s">
        <v>1144</v>
      </c>
      <c r="B1" s="43"/>
      <c r="C1" s="43"/>
      <c r="D1" s="43"/>
      <c r="E1" s="43"/>
      <c r="F1" s="43"/>
      <c r="G1" s="43"/>
      <c r="H1" s="43"/>
      <c r="I1" s="43"/>
      <c r="J1" s="43"/>
      <c r="K1" s="43"/>
      <c r="L1" s="43"/>
      <c r="M1" s="43"/>
      <c r="N1" s="43"/>
      <c r="O1" s="43"/>
      <c r="P1" s="43"/>
      <c r="Q1" s="43"/>
    </row>
    <row r="2" spans="1:17" ht="15" customHeight="1">
      <c r="A2" s="43"/>
      <c r="B2" s="43"/>
      <c r="C2" s="43"/>
      <c r="D2" s="43"/>
      <c r="E2" s="43"/>
      <c r="F2" s="43"/>
      <c r="G2" s="43"/>
      <c r="H2" s="43"/>
      <c r="I2" s="43"/>
      <c r="J2" s="43"/>
      <c r="K2" s="43"/>
      <c r="L2" s="43"/>
      <c r="M2" s="43"/>
      <c r="N2" s="43"/>
      <c r="O2" s="43"/>
      <c r="P2" s="43"/>
      <c r="Q2" s="43"/>
    </row>
    <row r="11" spans="1:17" ht="24" customHeight="1"/>
    <row r="12" spans="1:17">
      <c r="A12" s="30"/>
      <c r="B12" s="30"/>
      <c r="C12" s="30"/>
      <c r="D12" s="30"/>
      <c r="E12" s="30"/>
      <c r="F12" s="30"/>
      <c r="G12" s="30"/>
      <c r="H12" s="30"/>
      <c r="I12" s="30"/>
      <c r="J12" s="30"/>
      <c r="K12" s="30"/>
      <c r="L12" s="30"/>
      <c r="M12" s="30"/>
      <c r="N12" s="30"/>
      <c r="O12" s="30"/>
      <c r="P12" s="30"/>
      <c r="Q12" s="30"/>
    </row>
    <row r="13" spans="1:17" ht="18.75" customHeight="1">
      <c r="A13" s="31" t="s">
        <v>1134</v>
      </c>
      <c r="B13" s="44" t="s">
        <v>1136</v>
      </c>
      <c r="C13" s="44"/>
      <c r="D13" s="44"/>
      <c r="E13" s="32" t="s">
        <v>1130</v>
      </c>
      <c r="F13" s="44" t="s">
        <v>1129</v>
      </c>
      <c r="G13" s="44"/>
      <c r="H13" s="44"/>
      <c r="I13" s="32" t="s">
        <v>1135</v>
      </c>
      <c r="J13" s="45" t="s">
        <v>1131</v>
      </c>
      <c r="K13" s="45"/>
      <c r="L13" s="45"/>
      <c r="M13" s="32" t="s">
        <v>1133</v>
      </c>
      <c r="N13" s="45" t="s">
        <v>1132</v>
      </c>
      <c r="O13" s="45"/>
      <c r="P13" s="45"/>
      <c r="Q13" s="30"/>
    </row>
    <row r="14" spans="1:17" ht="18.75" customHeight="1">
      <c r="A14" s="30"/>
      <c r="B14" s="35">
        <f>GETPIVOTDATA("Phone_ID",Helper!$A$4)</f>
        <v>1000</v>
      </c>
      <c r="C14" s="35"/>
      <c r="D14" s="35"/>
      <c r="E14" s="30"/>
      <c r="F14" s="37">
        <f>GETPIVOTDATA("Selling_Price_USD",Helper!$A$9)</f>
        <v>506.18299999999999</v>
      </c>
      <c r="G14" s="37"/>
      <c r="H14" s="37"/>
      <c r="I14" s="30"/>
      <c r="J14" s="39">
        <f>GETPIVOTDATA("Selling_Price_USD",Helper!$A$13)</f>
        <v>967</v>
      </c>
      <c r="K14" s="39"/>
      <c r="L14" s="39"/>
      <c r="M14" s="30"/>
      <c r="N14" s="41" t="str">
        <f>TEXT(GETPIVOTDATA("Age_Years",Helper!$A$17),"0.00")&amp;" Years"</f>
        <v>4.09 Years</v>
      </c>
      <c r="O14" s="41"/>
      <c r="P14" s="41"/>
      <c r="Q14" s="30"/>
    </row>
    <row r="15" spans="1:17" ht="18.75" customHeight="1" thickBot="1">
      <c r="A15" s="31"/>
      <c r="B15" s="36"/>
      <c r="C15" s="36"/>
      <c r="D15" s="36"/>
      <c r="E15" s="30"/>
      <c r="F15" s="38"/>
      <c r="G15" s="38"/>
      <c r="H15" s="38"/>
      <c r="I15" s="30"/>
      <c r="J15" s="40"/>
      <c r="K15" s="40"/>
      <c r="L15" s="40"/>
      <c r="M15" s="30"/>
      <c r="N15" s="42"/>
      <c r="O15" s="42"/>
      <c r="P15" s="42"/>
      <c r="Q15" s="30"/>
    </row>
    <row r="16" spans="1:17" ht="18.75" customHeight="1">
      <c r="A16" s="31"/>
      <c r="B16" s="30"/>
      <c r="C16" s="30"/>
      <c r="D16" s="31"/>
      <c r="E16" s="30"/>
      <c r="F16" s="30"/>
      <c r="G16" s="30"/>
      <c r="H16" s="30"/>
      <c r="I16" s="30"/>
      <c r="J16" s="30"/>
      <c r="K16" s="30"/>
      <c r="L16" s="30"/>
      <c r="M16" s="30"/>
      <c r="N16" s="30"/>
      <c r="O16" s="30"/>
      <c r="P16" s="30"/>
      <c r="Q16" s="30"/>
    </row>
    <row r="84" spans="2:16" ht="33.75">
      <c r="B84" s="33" t="s">
        <v>1137</v>
      </c>
      <c r="C84" s="30"/>
      <c r="D84" s="30"/>
      <c r="E84" s="30"/>
      <c r="F84" s="30"/>
      <c r="G84" s="30"/>
      <c r="H84" s="30"/>
      <c r="I84" s="30"/>
      <c r="J84" s="30"/>
      <c r="K84" s="30"/>
      <c r="L84" s="30"/>
      <c r="M84" s="30"/>
      <c r="N84" s="30"/>
      <c r="O84" s="30"/>
      <c r="P84" s="30"/>
    </row>
    <row r="85" spans="2:16" ht="18.75">
      <c r="B85" s="34" t="s">
        <v>1138</v>
      </c>
      <c r="C85" s="30"/>
      <c r="D85" s="30"/>
      <c r="E85" s="30"/>
      <c r="F85" s="30"/>
      <c r="G85" s="30"/>
      <c r="H85" s="30"/>
      <c r="I85" s="30"/>
      <c r="J85" s="30"/>
      <c r="K85" s="30"/>
      <c r="L85" s="30"/>
      <c r="M85" s="30"/>
      <c r="N85" s="30"/>
      <c r="O85" s="30"/>
      <c r="P85" s="30"/>
    </row>
    <row r="86" spans="2:16" ht="18.75">
      <c r="B86" s="34" t="s">
        <v>1139</v>
      </c>
      <c r="C86" s="30"/>
      <c r="D86" s="30"/>
      <c r="E86" s="30"/>
      <c r="F86" s="30"/>
      <c r="G86" s="30"/>
      <c r="H86" s="30"/>
      <c r="I86" s="30"/>
      <c r="J86" s="30"/>
      <c r="K86" s="30"/>
      <c r="L86" s="30"/>
      <c r="M86" s="30"/>
      <c r="N86" s="30"/>
      <c r="O86" s="30"/>
      <c r="P86" s="30"/>
    </row>
    <row r="87" spans="2:16" ht="18.75">
      <c r="B87" s="34" t="s">
        <v>1140</v>
      </c>
      <c r="C87" s="30"/>
      <c r="D87" s="30"/>
      <c r="E87" s="30"/>
      <c r="F87" s="30"/>
      <c r="G87" s="30"/>
      <c r="H87" s="30"/>
      <c r="I87" s="30"/>
      <c r="J87" s="30"/>
      <c r="K87" s="30"/>
      <c r="L87" s="30"/>
      <c r="M87" s="30"/>
      <c r="N87" s="30"/>
      <c r="O87" s="30"/>
      <c r="P87" s="30"/>
    </row>
    <row r="88" spans="2:16" ht="18.75">
      <c r="B88" s="34" t="s">
        <v>1141</v>
      </c>
      <c r="C88" s="30"/>
      <c r="D88" s="30"/>
      <c r="E88" s="30"/>
      <c r="F88" s="30"/>
      <c r="G88" s="30"/>
      <c r="H88" s="30"/>
      <c r="I88" s="30"/>
      <c r="J88" s="30"/>
      <c r="K88" s="30"/>
      <c r="L88" s="30"/>
      <c r="M88" s="30"/>
      <c r="N88" s="30"/>
      <c r="O88" s="30"/>
      <c r="P88" s="30"/>
    </row>
  </sheetData>
  <mergeCells count="9">
    <mergeCell ref="B14:D15"/>
    <mergeCell ref="F14:H15"/>
    <mergeCell ref="J14:L15"/>
    <mergeCell ref="N14:P15"/>
    <mergeCell ref="A1:Q2"/>
    <mergeCell ref="B13:D13"/>
    <mergeCell ref="F13:H13"/>
    <mergeCell ref="J13:L13"/>
    <mergeCell ref="N13:P13"/>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8C3A8-1D6F-42F1-9E4F-0D6018513E16}">
  <dimension ref="A4:A18"/>
  <sheetViews>
    <sheetView workbookViewId="0">
      <selection activeCell="A18" sqref="A18"/>
    </sheetView>
  </sheetViews>
  <sheetFormatPr defaultRowHeight="15"/>
  <cols>
    <col min="1" max="1" width="20.5703125" bestFit="1" customWidth="1"/>
  </cols>
  <sheetData>
    <row r="4" spans="1:1">
      <c r="A4" t="s">
        <v>1095</v>
      </c>
    </row>
    <row r="5" spans="1:1">
      <c r="A5" s="5">
        <v>1000</v>
      </c>
    </row>
    <row r="9" spans="1:1">
      <c r="A9" t="s">
        <v>1090</v>
      </c>
    </row>
    <row r="10" spans="1:1">
      <c r="A10" s="5">
        <v>506.18299999999999</v>
      </c>
    </row>
    <row r="13" spans="1:1">
      <c r="A13" t="s">
        <v>1142</v>
      </c>
    </row>
    <row r="14" spans="1:1">
      <c r="A14" s="5">
        <v>967</v>
      </c>
    </row>
    <row r="17" spans="1:1">
      <c r="A17" t="s">
        <v>1143</v>
      </c>
    </row>
    <row r="18" spans="1:1">
      <c r="A18" s="15">
        <v>4.0910000000000002</v>
      </c>
    </row>
  </sheetData>
  <pageMargins left="0.7" right="0.7" top="0.75" bottom="0.75" header="0.3" footer="0.3"/>
  <pageSetup orientation="portrait" horizontalDpi="360" verticalDpi="360"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89F45C-B3E9-449E-B8F1-2DFEBB610D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Lookup</vt:lpstr>
      <vt:lpstr>Analysis</vt:lpstr>
      <vt:lpstr>Dashboard</vt:lpstr>
      <vt:lpstr>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Amel</cp:lastModifiedBy>
  <cp:lastPrinted>2026-07-29T15:02:40Z</cp:lastPrinted>
  <dcterms:created xsi:type="dcterms:W3CDTF">2026-07-28T01:39:11Z</dcterms:created>
  <dcterms:modified xsi:type="dcterms:W3CDTF">2026-07-29T15:59:51Z</dcterms:modified>
</cp:coreProperties>
</file>